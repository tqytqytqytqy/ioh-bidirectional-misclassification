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688b02f57740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58f6ad1e6c7549ba"/>
    <x:sheet xmlns:r="http://schemas.openxmlformats.org/officeDocument/2006/relationships" name="01_INDEX" sheetId="2" r:id="R479b7be021aa4cad"/>
    <x:sheet xmlns:r="http://schemas.openxmlformats.org/officeDocument/2006/relationships" name="02_KEY_RESULTS" sheetId="3" r:id="Re49bd23a09ee47b0"/>
    <x:sheet xmlns:r="http://schemas.openxmlformats.org/officeDocument/2006/relationships" name="03_CONSISTENCY" sheetId="4" r:id="R448eedecd53a44ce"/>
    <x:sheet xmlns:r="http://schemas.openxmlformats.org/officeDocument/2006/relationships" name="04_EXCLUSIONS" sheetId="5" r:id="Rc3e9e56b08064d79"/>
    <x:sheet xmlns:r="http://schemas.openxmlformats.org/officeDocument/2006/relationships" name="Analysis_Window" sheetId="6" r:id="Rd8a06b7866ff4151"/>
    <x:sheet xmlns:r="http://schemas.openxmlformats.org/officeDocument/2006/relationships" name="Cohort_Flow" sheetId="7" r:id="R871f1bfae3554b3f"/>
    <x:sheet xmlns:r="http://schemas.openxmlformats.org/officeDocument/2006/relationships" name="Cohort_Overlap" sheetId="8" r:id="Refdd42114be84917"/>
    <x:sheet xmlns:r="http://schemas.openxmlformats.org/officeDocument/2006/relationships" name="Episode_By_Duration" sheetId="9" r:id="Rfa9e293c18184795"/>
    <x:sheet xmlns:r="http://schemas.openxmlformats.org/officeDocument/2006/relationships" name="Episode_Detect_by_Thresh_interv" sheetId="10" r:id="R43aaa2a3868c4b2a"/>
    <x:sheet xmlns:r="http://schemas.openxmlformats.org/officeDocument/2006/relationships" name="Episode_Detection" sheetId="11" r:id="R0445b16875654d86"/>
    <x:sheet xmlns:r="http://schemas.openxmlformats.org/officeDocument/2006/relationships" name="Figure1_Source" sheetId="12" r:id="R2d862dcc2b9148d2"/>
    <x:sheet xmlns:r="http://schemas.openxmlformats.org/officeDocument/2006/relationships" name="Figure2_Source" sheetId="13" r:id="R88053257eb514d95"/>
    <x:sheet xmlns:r="http://schemas.openxmlformats.org/officeDocument/2006/relationships" name="Figure4_Source" sheetId="14" r:id="R6bb12bab156a4160"/>
    <x:sheet xmlns:r="http://schemas.openxmlformats.org/officeDocument/2006/relationships" name="Frequency_Population" sheetId="15" r:id="Rff132021ff774739"/>
    <x:sheet xmlns:r="http://schemas.openxmlformats.org/officeDocument/2006/relationships" name="Frequency_Primary" sheetId="16" r:id="R4a3333f5d0e14912"/>
    <x:sheet xmlns:r="http://schemas.openxmlformats.org/officeDocument/2006/relationships" name="Frequency_Denominators" sheetId="17" r:id="R1da3b969ef874681"/>
    <x:sheet xmlns:r="http://schemas.openxmlformats.org/officeDocument/2006/relationships" name="INSPIRE_guardrail_report" sheetId="18" r:id="Rfa2aeeaa9fb94549"/>
    <x:sheet xmlns:r="http://schemas.openxmlformats.org/officeDocument/2006/relationships" name="INSPIRE_resource_burden" sheetId="19" r:id="R75b3840a623f45b2"/>
    <x:sheet xmlns:r="http://schemas.openxmlformats.org/officeDocument/2006/relationships" name="INSPIRE_Resources" sheetId="20" r:id="Rca16853c9f7d4628"/>
    <x:sheet xmlns:r="http://schemas.openxmlformats.org/officeDocument/2006/relationships" name="linkage_gate_report" sheetId="21" r:id="R7e33d76a148744d8"/>
    <x:sheet xmlns:r="http://schemas.openxmlformats.org/officeDocument/2006/relationships" name="metric_definition_dictionary" sheetId="22" r:id="Rf61aa6940a924f17"/>
    <x:sheet xmlns:r="http://schemas.openxmlformats.org/officeDocument/2006/relationships" name="Missed_Severe_Episodes" sheetId="23" r:id="R5b263fd524024a08"/>
    <x:sheet xmlns:r="http://schemas.openxmlformats.org/officeDocument/2006/relationships" name="MoVeR_Gate" sheetId="24" r:id="Rabca8c9ff79b4795"/>
    <x:sheet xmlns:r="http://schemas.openxmlformats.org/officeDocument/2006/relationships" name="NIBP_Arterial_Strata" sheetId="25" r:id="R54865157a588402c"/>
    <x:sheet xmlns:r="http://schemas.openxmlformats.org/officeDocument/2006/relationships" name="NIBP_bland_altman_summary" sheetId="26" r:id="R6dc6cf86d3324532"/>
    <x:sheet xmlns:r="http://schemas.openxmlformats.org/officeDocument/2006/relationships" name="NIBP_Case_Flow" sheetId="27" r:id="R5e675183ce0045fc"/>
    <x:sheet xmlns:r="http://schemas.openxmlformats.org/officeDocument/2006/relationships" name="NIBP_collapse_flow" sheetId="28" r:id="Rf54c4a1cede34814"/>
    <x:sheet xmlns:r="http://schemas.openxmlformats.org/officeDocument/2006/relationships" name="NIBP_dedup_Sens" sheetId="29" r:id="Rf0b0a6cb682248ba"/>
    <x:sheet xmlns:r="http://schemas.openxmlformats.org/officeDocument/2006/relationships" name="NIBP_dedup_Sens_grid" sheetId="30" r:id="Rfac2a0df28124913"/>
    <x:sheet xmlns:r="http://schemas.openxmlformats.org/officeDocument/2006/relationships" name="NIBP_Display_retention_audit" sheetId="31" r:id="Rd20bcea0a9ca42cc"/>
    <x:sheet xmlns:r="http://schemas.openxmlformats.org/officeDocument/2006/relationships" name="NIBP_Display_Valid_Decomp" sheetId="32" r:id="R00f949270ef24feb"/>
    <x:sheet xmlns:r="http://schemas.openxmlformats.org/officeDocument/2006/relationships" name="NIBP_Horizon_Sensitivity" sheetId="33" r:id="Re322568efa144016"/>
    <x:sheet xmlns:r="http://schemas.openxmlformats.org/officeDocument/2006/relationships" name="NIBP_Episode_Detect" sheetId="34" r:id="R63df4ba1fa944392"/>
    <x:sheet xmlns:r="http://schemas.openxmlformats.org/officeDocument/2006/relationships" name="NIBP_event_audit" sheetId="35" r:id="R170444e5a1d742c2"/>
    <x:sheet xmlns:r="http://schemas.openxmlformats.org/officeDocument/2006/relationships" name="NIBP_event_Detect" sheetId="36" r:id="Rabf1cbaf870045d0"/>
    <x:sheet xmlns:r="http://schemas.openxmlformats.org/officeDocument/2006/relationships" name="NIBP_event_Detect_metrics" sheetId="37" r:id="R61647897cbef4c26"/>
    <x:sheet xmlns:r="http://schemas.openxmlformats.org/officeDocument/2006/relationships" name="NIBP_Event_Flow" sheetId="38" r:id="R8e40bf9839b242cf"/>
    <x:sheet xmlns:r="http://schemas.openxmlformats.org/officeDocument/2006/relationships" name="NIBP_Flow_Closure" sheetId="39" r:id="R14a19cc058d84d90"/>
    <x:sheet xmlns:r="http://schemas.openxmlformats.org/officeDocument/2006/relationships" name="NIBP_Low_MAP_Coupling" sheetId="40" r:id="R8867cab50ba047e7"/>
    <x:sheet xmlns:r="http://schemas.openxmlformats.org/officeDocument/2006/relationships" name="NIBP_low_map_strata_bias" sheetId="41" r:id="R097a4bc6b9b84063"/>
    <x:sheet xmlns:r="http://schemas.openxmlformats.org/officeDocument/2006/relationships" name="NIBP_Mechanism_CIs" sheetId="42" r:id="Rae92b918f9de4d27"/>
    <x:sheet xmlns:r="http://schemas.openxmlformats.org/officeDocument/2006/relationships" name="NIBP_Mechanisms" sheetId="43" r:id="R6f27865ab98c4fda"/>
    <x:sheet xmlns:r="http://schemas.openxmlformats.org/officeDocument/2006/relationships" name="NIBP_Events_Per_Case" sheetId="44" r:id="Ra423b59a9eb245e7"/>
    <x:sheet xmlns:r="http://schemas.openxmlformats.org/officeDocument/2006/relationships" name="NIBP_Classification" sheetId="45" r:id="R0fcdb632e9e1432d"/>
    <x:sheet xmlns:r="http://schemas.openxmlformats.org/officeDocument/2006/relationships" name="NIBP_PairedMean_Strata" sheetId="46" r:id="R65e36da22d854414"/>
    <x:sheet xmlns:r="http://schemas.openxmlformats.org/officeDocument/2006/relationships" name="NIBP_Pair_Failures" sheetId="47" r:id="Rc061101a698243fd"/>
    <x:sheet xmlns:r="http://schemas.openxmlformats.org/officeDocument/2006/relationships" name="NIBP_pairing_Sens" sheetId="48" r:id="R0bb05657e1974656"/>
    <x:sheet xmlns:r="http://schemas.openxmlformats.org/officeDocument/2006/relationships" name="NIBP_pairing_Sens_grid" sheetId="49" r:id="R924bd2920d9c419a"/>
    <x:sheet xmlns:r="http://schemas.openxmlformats.org/officeDocument/2006/relationships" name="NIBP_Repeated_BA" sheetId="50" r:id="R39e256536a454f32"/>
    <x:sheet xmlns:r="http://schemas.openxmlformats.org/officeDocument/2006/relationships" name="NIBP_Sample_Method" sheetId="51" r:id="Rc048fb4253334754"/>
    <x:sheet xmlns:r="http://schemas.openxmlformats.org/officeDocument/2006/relationships" name="NIBP_Representativeness" sheetId="52" r:id="Ra82fdba3cc4b41b4"/>
    <x:sheet xmlns:r="http://schemas.openxmlformats.org/officeDocument/2006/relationships" name="NIBP_Timestamps" sheetId="53" r:id="R38fbfa3d50b74c8a"/>
    <x:sheet xmlns:r="http://schemas.openxmlformats.org/officeDocument/2006/relationships" name="Offset_Variability" sheetId="54" r:id="Rb7699caf9f0d45f3"/>
    <x:sheet xmlns:r="http://schemas.openxmlformats.org/officeDocument/2006/relationships" name="Package_Versions" sheetId="55" r:id="Raa3d3ea2de6a484a"/>
    <x:sheet xmlns:r="http://schemas.openxmlformats.org/officeDocument/2006/relationships" name="Track_Cohort_Counts" sheetId="56" r:id="R87f8c9f4371b449e"/>
    <x:sheet xmlns:r="http://schemas.openxmlformats.org/officeDocument/2006/relationships" name="selective_continuous_frontier" sheetId="57" r:id="Rf1e63a073f774987"/>
    <x:sheet xmlns:r="http://schemas.openxmlformats.org/officeDocument/2006/relationships" name="shared_covariate_dictionary" sheetId="58" r:id="Rf92ceedee1954cca"/>
    <x:sheet xmlns:r="http://schemas.openxmlformats.org/officeDocument/2006/relationships" name="smd_table" sheetId="59" r:id="Ref70570546d5412c"/>
    <x:sheet xmlns:r="http://schemas.openxmlformats.org/officeDocument/2006/relationships" name="Statsmodels_Usage" sheetId="60" r:id="R0f08614c09ef46a7"/>
    <x:sheet xmlns:r="http://schemas.openxmlformats.org/officeDocument/2006/relationships" name="Strat_Decomp" sheetId="61" r:id="Rc0860600eae04290"/>
    <x:sheet xmlns:r="http://schemas.openxmlformats.org/officeDocument/2006/relationships" name="Strat_Display_series_audit" sheetId="62" r:id="R96a723b5f57047dc"/>
    <x:sheet xmlns:r="http://schemas.openxmlformats.org/officeDocument/2006/relationships" name="Strategy_Frontier" sheetId="63" r:id="R8c7fd215fbd248db"/>
    <x:sheet xmlns:r="http://schemas.openxmlformats.org/officeDocument/2006/relationships" name="Strategy_Phase" sheetId="64" r:id="R49776fa92cef4a97"/>
    <x:sheet xmlns:r="http://schemas.openxmlformats.org/officeDocument/2006/relationships" name="Strategy_Rules" sheetId="65" r:id="R222f420b7a654c8e"/>
    <x:sheet xmlns:r="http://schemas.openxmlformats.org/officeDocument/2006/relationships" name="supp_NIBP_Detect_all_thresholds" sheetId="66" r:id="R050f7395f64c4b28"/>
    <x:sheet xmlns:r="http://schemas.openxmlformats.org/officeDocument/2006/relationships" name="supp_NIBP_subset_characteristic" sheetId="67" r:id="R45b3ffa3015d495a"/>
    <x:sheet xmlns:r="http://schemas.openxmlformats.org/officeDocument/2006/relationships" name="Surgical_Exclusions" sheetId="68" r:id="R19f5e0d02bed4bcd"/>
    <x:sheet xmlns:r="http://schemas.openxmlformats.org/officeDocument/2006/relationships" name="table1_data_roles" sheetId="69" r:id="Rc33839a237704977"/>
    <x:sheet xmlns:r="http://schemas.openxmlformats.org/officeDocument/2006/relationships" name="table1_data_sources_roles_cohor" sheetId="70" r:id="R451aa15475014f2f"/>
    <x:sheet xmlns:r="http://schemas.openxmlformats.org/officeDocument/2006/relationships" name="table2_Freq" sheetId="71" r:id="R66054a553faa4174"/>
    <x:sheet xmlns:r="http://schemas.openxmlformats.org/officeDocument/2006/relationships" name="table2_Freq_Decomp" sheetId="72" r:id="Rde6c11856c5e4157"/>
    <x:sheet xmlns:r="http://schemas.openxmlformats.org/officeDocument/2006/relationships" name="table3_Actual_NIBP_timing_cuff_" sheetId="73" r:id="R442c11bb81604d03"/>
    <x:sheet xmlns:r="http://schemas.openxmlformats.org/officeDocument/2006/relationships" name="table3_NIBP_mechanisms" sheetId="74" r:id="R58eaae798d4846e8"/>
    <x:sheet xmlns:r="http://schemas.openxmlformats.org/officeDocument/2006/relationships" name="table4_Strat_efficiency_frontie" sheetId="75" r:id="R39e942c71d4b4c78"/>
    <x:sheet xmlns:r="http://schemas.openxmlformats.org/officeDocument/2006/relationships" name="table4_Strat_frontier" sheetId="76" r:id="Rb794bbc46c924f75"/>
    <x:sheet xmlns:r="http://schemas.openxmlformats.org/officeDocument/2006/relationships" name="target_Pop_table" sheetId="77" r:id="Rfaddb0d84d834f4c"/>
    <x:sheet xmlns:r="http://schemas.openxmlformats.org/officeDocument/2006/relationships" name="Window_Sensitivity" sheetId="78" r:id="R3bf113f05e6d40dc"/>
    <x:sheet xmlns:r="http://schemas.openxmlformats.org/officeDocument/2006/relationships" name="Track_Selection" sheetId="79" r:id="Rc572548fd3474e28"/>
    <x:sheet xmlns:r="http://schemas.openxmlformats.org/officeDocument/2006/relationships" name="INSPIRE_Balance" sheetId="80" r:id="R2876d4df39784a74"/>
    <x:sheet xmlns:r="http://schemas.openxmlformats.org/officeDocument/2006/relationships" name="INSPIRE_Weighted_Est" sheetId="81" r:id="R493a1e1bc54a4b57"/>
    <x:sheet xmlns:r="http://schemas.openxmlformats.org/officeDocument/2006/relationships" name="Wave_coverage_flow" sheetId="82" r:id="R81d2c50740be4a4f"/>
    <x:sheet xmlns:r="http://schemas.openxmlformats.org/officeDocument/2006/relationships" name="Wave_Sens_hdr_odr" sheetId="83" r:id="R3ababc1c86d34f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00"/>
    <x:numFmt numFmtId="202" formatCode="0.000000000000"/>
  </x:numFmts>
  <x:fonts count="8">
    <x:font>
      <x:sz val="11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i/>
      <x:sz val="11"/>
      <x:color rgb="FF23303A"/>
      <x:name val="Carlito"/>
    </x:font>
    <x:font>
      <x:b/>
      <x:sz val="11"/>
      <x:color rgb="FF0F4C5C"/>
      <x:name val="Carlito"/>
    </x:font>
    <x:font>
      <x:sz val="11"/>
      <x:color rgb="FF23303A"/>
      <x:name val="Carlito"/>
    </x:font>
    <x:font>
      <x:b/>
      <x:sz val="11"/>
      <x:color rgb="FF1F2937"/>
      <x:name val="Carlito"/>
    </x:font>
    <x:font>
      <x:i/>
      <x:sz val="11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F4C5C"/>
      </x:patternFill>
    </x:fill>
    <x:fill>
      <x:patternFill patternType="solid">
        <x:fgColor rgb="FFD9EAF2"/>
      </x:patternFill>
    </x:fill>
  </x:fills>
  <x:borders count="4">
    <x:border/>
    <x:border/>
    <x:border>
      <x:left style="thin">
        <x:color rgb="FFD5DCE2"/>
      </x:left>
      <x:right style="thin">
        <x:color rgb="FFD5DCE2"/>
      </x:right>
      <x:top style="thin">
        <x:color rgb="FFD5DCE2"/>
      </x:top>
      <x:bottom style="thin">
        <x:color rgb="FFD5DCE2"/>
      </x:bottom>
    </x:border>
    <x:border>
      <x:left style="thin">
        <x:color rgb="FFD5DCE2"/>
      </x:left>
      <x:right style="thin">
        <x:color rgb="FFD5DCE2"/>
      </x:right>
      <x:top style="thin">
        <x:color rgb="FFD5DCE2"/>
      </x:top>
      <x:bottom style="thin">
        <x:color rgb="FFD5DCE2"/>
      </x:bottom>
    </x:border>
  </x:borders>
  <x:cellStyleXfs count="1">
    <x:xf numFmtId="0" fontId="0" fillId="0" borderId="0"/>
  </x:cellStyleXfs>
  <x:cellXfs count="76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1" fontId="1" fillId="0" borderId="2" xfId="0" applyNumberFormat="1" applyFont="1" applyFill="1" applyBorder="1" applyAlignment="1">
      <x:alignment vertical="top" wrapText="1"/>
    </x:xf>
    <x:xf numFmtId="201" fontId="1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3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vertical="center"/>
    </x:xf>
    <x:xf numFmtId="0" fontId="7" fillId="3" borderId="1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vertical="center"/>
    </x:xf>
    <x:xf numFmtId="0" fontId="7" fillId="3" borderId="2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vertical="center"/>
    </x:xf>
    <x:xf numFmtId="0" fontId="7" fillId="3" borderId="3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vertical="center" wrapText="1"/>
    </x:xf>
    <x:xf numFmtId="0" fontId="6" fillId="2" borderId="3" xfId="0" applyNumberFormat="1" applyFont="1" applyFill="1" applyBorder="1" applyAlignment="1">
      <x:alignment vertical="center" wrapText="1"/>
    </x:xf>
    <x:xf numFmtId="0" fontId="6" fillId="2" borderId="2" xfId="0" applyNumberFormat="1" applyFont="1" applyFill="1" applyBorder="1" applyAlignment="1">
      <x:alignment vertical="top" wrapText="1"/>
    </x:xf>
    <x:xf numFmtId="0" fontId="7" fillId="3" borderId="2" xfId="0" applyNumberFormat="1" applyFont="1" applyFill="1" applyBorder="1" applyAlignment="1">
      <x:alignment vertical="top" wrapText="1"/>
    </x:xf>
    <x:xf numFmtId="0" fontId="6" fillId="2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200" fontId="7" fillId="3" borderId="2" xfId="0" applyNumberFormat="1" applyFont="1" applyFill="1" applyBorder="1" applyAlignment="1">
      <x:alignment vertical="top" wrapText="1"/>
    </x:xf>
    <x:xf numFmtId="200" fontId="7" fillId="3" borderId="3" xfId="0" applyNumberFormat="1" applyFont="1" applyFill="1" applyBorder="1" applyAlignment="1">
      <x:alignment vertical="top" wrapText="1"/>
    </x:xf>
    <x:xf numFmtId="201" fontId="7" fillId="3" borderId="2" xfId="0" applyNumberFormat="1" applyFont="1" applyFill="1" applyBorder="1" applyAlignment="1">
      <x:alignment vertical="top" wrapText="1"/>
    </x:xf>
    <x:xf numFmtId="201" fontId="7" fillId="3" borderId="3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1" fillId="0" borderId="2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1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/>
  </x:cellXfs>
  <x:cellStyles count="1">
    <x:cellStyle name="Normal" xfId="0"/>
  </x:cellStyles>
  <x:dxfs count="2">
    <x:dxf>
      <x:font>
        <x:b/>
        <x:color rgb="FF17643A"/>
      </x:font>
      <x:fill>
        <x:patternFill patternType="solid">
          <x:bgColor rgb="FFD7F0E0"/>
        </x:patternFill>
      </x:fill>
    </x:dxf>
    <x:dxf>
      <x:font>
        <x:b/>
        <x:color rgb="FF9B1C1C"/>
      </x:font>
      <x:fill>
        <x:patternFill patternType="solid">
          <x:bgColor rgb="FFFB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3fca193e8a4dbb" /><Relationship Type="http://schemas.openxmlformats.org/officeDocument/2006/relationships/theme" Target="/xl/theme/theme1.xml" Id="R2fe08c905c3c40b2" /><Relationship Type="http://schemas.microsoft.com/office/2022/11/relationships/FeaturePropertyBag" Target="/xl/featurePropertyBag/featurePropertyBag.xml" Id="R95d8b909dd3a4739" /><Relationship Type="http://schemas.openxmlformats.org/officeDocument/2006/relationships/sharedStrings" Target="/xl/sharedStrings.xml" Id="Rb7da5a43356248a0" /><Relationship Type="http://schemas.openxmlformats.org/officeDocument/2006/relationships/worksheet" Target="/xl/worksheets/sheet1.xml" Id="R58f6ad1e6c7549ba" /><Relationship Type="http://schemas.openxmlformats.org/officeDocument/2006/relationships/worksheet" Target="/xl/worksheets/sheet2.xml" Id="R479b7be021aa4cad" /><Relationship Type="http://schemas.openxmlformats.org/officeDocument/2006/relationships/worksheet" Target="/xl/worksheets/sheet3.xml" Id="Re49bd23a09ee47b0" /><Relationship Type="http://schemas.openxmlformats.org/officeDocument/2006/relationships/worksheet" Target="/xl/worksheets/sheet4.xml" Id="R448eedecd53a44ce" /><Relationship Type="http://schemas.openxmlformats.org/officeDocument/2006/relationships/worksheet" Target="/xl/worksheets/sheet5.xml" Id="Rc3e9e56b08064d79" /><Relationship Type="http://schemas.openxmlformats.org/officeDocument/2006/relationships/worksheet" Target="/xl/worksheets/sheet6.xml" Id="Rd8a06b7866ff4151" /><Relationship Type="http://schemas.openxmlformats.org/officeDocument/2006/relationships/worksheet" Target="/xl/worksheets/sheet7.xml" Id="R871f1bfae3554b3f" /><Relationship Type="http://schemas.openxmlformats.org/officeDocument/2006/relationships/worksheet" Target="/xl/worksheets/sheet8.xml" Id="Refdd42114be84917" /><Relationship Type="http://schemas.openxmlformats.org/officeDocument/2006/relationships/worksheet" Target="/xl/worksheets/sheet9.xml" Id="Rfa9e293c18184795" /><Relationship Type="http://schemas.openxmlformats.org/officeDocument/2006/relationships/worksheet" Target="/xl/worksheets/sheet10.xml" Id="R43aaa2a3868c4b2a" /><Relationship Type="http://schemas.openxmlformats.org/officeDocument/2006/relationships/worksheet" Target="/xl/worksheets/sheet11.xml" Id="R0445b16875654d86" /><Relationship Type="http://schemas.openxmlformats.org/officeDocument/2006/relationships/worksheet" Target="/xl/worksheets/sheet12.xml" Id="R2d862dcc2b9148d2" /><Relationship Type="http://schemas.openxmlformats.org/officeDocument/2006/relationships/worksheet" Target="/xl/worksheets/sheet13.xml" Id="R88053257eb514d95" /><Relationship Type="http://schemas.openxmlformats.org/officeDocument/2006/relationships/worksheet" Target="/xl/worksheets/sheet14.xml" Id="R6bb12bab156a4160" /><Relationship Type="http://schemas.openxmlformats.org/officeDocument/2006/relationships/worksheet" Target="/xl/worksheets/sheet15.xml" Id="Rff132021ff774739" /><Relationship Type="http://schemas.openxmlformats.org/officeDocument/2006/relationships/worksheet" Target="/xl/worksheets/sheet16.xml" Id="R4a3333f5d0e14912" /><Relationship Type="http://schemas.openxmlformats.org/officeDocument/2006/relationships/worksheet" Target="/xl/worksheets/sheet17.xml" Id="R1da3b969ef874681" /><Relationship Type="http://schemas.openxmlformats.org/officeDocument/2006/relationships/worksheet" Target="/xl/worksheets/sheet18.xml" Id="Rfa2aeeaa9fb94549" /><Relationship Type="http://schemas.openxmlformats.org/officeDocument/2006/relationships/worksheet" Target="/xl/worksheets/sheet19.xml" Id="R75b3840a623f45b2" /><Relationship Type="http://schemas.openxmlformats.org/officeDocument/2006/relationships/worksheet" Target="/xl/worksheets/sheet20.xml" Id="Rca16853c9f7d4628" /><Relationship Type="http://schemas.openxmlformats.org/officeDocument/2006/relationships/worksheet" Target="/xl/worksheets/sheet21.xml" Id="R7e33d76a148744d8" /><Relationship Type="http://schemas.openxmlformats.org/officeDocument/2006/relationships/worksheet" Target="/xl/worksheets/sheet22.xml" Id="Rf61aa6940a924f17" /><Relationship Type="http://schemas.openxmlformats.org/officeDocument/2006/relationships/worksheet" Target="/xl/worksheets/sheet23.xml" Id="R5b263fd524024a08" /><Relationship Type="http://schemas.openxmlformats.org/officeDocument/2006/relationships/worksheet" Target="/xl/worksheets/sheet24.xml" Id="Rabca8c9ff79b4795" /><Relationship Type="http://schemas.openxmlformats.org/officeDocument/2006/relationships/worksheet" Target="/xl/worksheets/sheet25.xml" Id="R54865157a588402c" /><Relationship Type="http://schemas.openxmlformats.org/officeDocument/2006/relationships/worksheet" Target="/xl/worksheets/sheet26.xml" Id="R6dc6cf86d3324532" /><Relationship Type="http://schemas.openxmlformats.org/officeDocument/2006/relationships/worksheet" Target="/xl/worksheets/sheet27.xml" Id="R5e675183ce0045fc" /><Relationship Type="http://schemas.openxmlformats.org/officeDocument/2006/relationships/worksheet" Target="/xl/worksheets/sheet28.xml" Id="Rf54c4a1cede34814" /><Relationship Type="http://schemas.openxmlformats.org/officeDocument/2006/relationships/worksheet" Target="/xl/worksheets/sheet29.xml" Id="Rf0b0a6cb682248ba" /><Relationship Type="http://schemas.openxmlformats.org/officeDocument/2006/relationships/worksheet" Target="/xl/worksheets/sheet30.xml" Id="Rfac2a0df28124913" /><Relationship Type="http://schemas.openxmlformats.org/officeDocument/2006/relationships/worksheet" Target="/xl/worksheets/sheet31.xml" Id="Rd20bcea0a9ca42cc" /><Relationship Type="http://schemas.openxmlformats.org/officeDocument/2006/relationships/worksheet" Target="/xl/worksheets/sheet32.xml" Id="R00f949270ef24feb" /><Relationship Type="http://schemas.openxmlformats.org/officeDocument/2006/relationships/worksheet" Target="/xl/worksheets/sheet33.xml" Id="Re322568efa144016" /><Relationship Type="http://schemas.openxmlformats.org/officeDocument/2006/relationships/worksheet" Target="/xl/worksheets/sheet34.xml" Id="R63df4ba1fa944392" /><Relationship Type="http://schemas.openxmlformats.org/officeDocument/2006/relationships/worksheet" Target="/xl/worksheets/sheet35.xml" Id="R170444e5a1d742c2" /><Relationship Type="http://schemas.openxmlformats.org/officeDocument/2006/relationships/worksheet" Target="/xl/worksheets/sheet36.xml" Id="Rabf1cbaf870045d0" /><Relationship Type="http://schemas.openxmlformats.org/officeDocument/2006/relationships/worksheet" Target="/xl/worksheets/sheet37.xml" Id="R61647897cbef4c26" /><Relationship Type="http://schemas.openxmlformats.org/officeDocument/2006/relationships/worksheet" Target="/xl/worksheets/sheet38.xml" Id="R8e40bf9839b242cf" /><Relationship Type="http://schemas.openxmlformats.org/officeDocument/2006/relationships/worksheet" Target="/xl/worksheets/sheet39.xml" Id="R14a19cc058d84d90" /><Relationship Type="http://schemas.openxmlformats.org/officeDocument/2006/relationships/worksheet" Target="/xl/worksheets/sheet40.xml" Id="R8867cab50ba047e7" /><Relationship Type="http://schemas.openxmlformats.org/officeDocument/2006/relationships/worksheet" Target="/xl/worksheets/sheet41.xml" Id="R097a4bc6b9b84063" /><Relationship Type="http://schemas.openxmlformats.org/officeDocument/2006/relationships/worksheet" Target="/xl/worksheets/sheet42.xml" Id="Rae92b918f9de4d27" /><Relationship Type="http://schemas.openxmlformats.org/officeDocument/2006/relationships/worksheet" Target="/xl/worksheets/sheet43.xml" Id="R6f27865ab98c4fda" /><Relationship Type="http://schemas.openxmlformats.org/officeDocument/2006/relationships/worksheet" Target="/xl/worksheets/sheet44.xml" Id="Ra423b59a9eb245e7" /><Relationship Type="http://schemas.openxmlformats.org/officeDocument/2006/relationships/worksheet" Target="/xl/worksheets/sheet45.xml" Id="R0fcdb632e9e1432d" /><Relationship Type="http://schemas.openxmlformats.org/officeDocument/2006/relationships/worksheet" Target="/xl/worksheets/sheet46.xml" Id="R65e36da22d854414" /><Relationship Type="http://schemas.openxmlformats.org/officeDocument/2006/relationships/worksheet" Target="/xl/worksheets/sheet47.xml" Id="Rc061101a698243fd" /><Relationship Type="http://schemas.openxmlformats.org/officeDocument/2006/relationships/worksheet" Target="/xl/worksheets/sheet48.xml" Id="R0bb05657e1974656" /><Relationship Type="http://schemas.openxmlformats.org/officeDocument/2006/relationships/worksheet" Target="/xl/worksheets/sheet49.xml" Id="R924bd2920d9c419a" /><Relationship Type="http://schemas.openxmlformats.org/officeDocument/2006/relationships/worksheet" Target="/xl/worksheets/sheet50.xml" Id="R39e256536a454f32" /><Relationship Type="http://schemas.openxmlformats.org/officeDocument/2006/relationships/worksheet" Target="/xl/worksheets/sheet51.xml" Id="Rc048fb4253334754" /><Relationship Type="http://schemas.openxmlformats.org/officeDocument/2006/relationships/worksheet" Target="/xl/worksheets/sheet52.xml" Id="Ra82fdba3cc4b41b4" /><Relationship Type="http://schemas.openxmlformats.org/officeDocument/2006/relationships/worksheet" Target="/xl/worksheets/sheet53.xml" Id="R38fbfa3d50b74c8a" /><Relationship Type="http://schemas.openxmlformats.org/officeDocument/2006/relationships/worksheet" Target="/xl/worksheets/sheet54.xml" Id="Rb7699caf9f0d45f3" /><Relationship Type="http://schemas.openxmlformats.org/officeDocument/2006/relationships/worksheet" Target="/xl/worksheets/sheet55.xml" Id="Raa3d3ea2de6a484a" /><Relationship Type="http://schemas.openxmlformats.org/officeDocument/2006/relationships/worksheet" Target="/xl/worksheets/sheet56.xml" Id="R87f8c9f4371b449e" /><Relationship Type="http://schemas.openxmlformats.org/officeDocument/2006/relationships/worksheet" Target="/xl/worksheets/sheet57.xml" Id="Rf1e63a073f774987" /><Relationship Type="http://schemas.openxmlformats.org/officeDocument/2006/relationships/worksheet" Target="/xl/worksheets/sheet58.xml" Id="Rf92ceedee1954cca" /><Relationship Type="http://schemas.openxmlformats.org/officeDocument/2006/relationships/worksheet" Target="/xl/worksheets/sheet59.xml" Id="Ref70570546d5412c" /><Relationship Type="http://schemas.openxmlformats.org/officeDocument/2006/relationships/worksheet" Target="/xl/worksheets/sheet60.xml" Id="R0f08614c09ef46a7" /><Relationship Type="http://schemas.openxmlformats.org/officeDocument/2006/relationships/worksheet" Target="/xl/worksheets/sheet61.xml" Id="Rc0860600eae04290" /><Relationship Type="http://schemas.openxmlformats.org/officeDocument/2006/relationships/worksheet" Target="/xl/worksheets/sheet62.xml" Id="R96a723b5f57047dc" /><Relationship Type="http://schemas.openxmlformats.org/officeDocument/2006/relationships/worksheet" Target="/xl/worksheets/sheet63.xml" Id="R8c7fd215fbd248db" /><Relationship Type="http://schemas.openxmlformats.org/officeDocument/2006/relationships/worksheet" Target="/xl/worksheets/sheet64.xml" Id="R49776fa92cef4a97" /><Relationship Type="http://schemas.openxmlformats.org/officeDocument/2006/relationships/worksheet" Target="/xl/worksheets/sheet65.xml" Id="R222f420b7a654c8e" /><Relationship Type="http://schemas.openxmlformats.org/officeDocument/2006/relationships/worksheet" Target="/xl/worksheets/sheet66.xml" Id="R050f7395f64c4b28" /><Relationship Type="http://schemas.openxmlformats.org/officeDocument/2006/relationships/worksheet" Target="/xl/worksheets/sheet67.xml" Id="R45b3ffa3015d495a" /><Relationship Type="http://schemas.openxmlformats.org/officeDocument/2006/relationships/worksheet" Target="/xl/worksheets/sheet68.xml" Id="R19f5e0d02bed4bcd" /><Relationship Type="http://schemas.openxmlformats.org/officeDocument/2006/relationships/worksheet" Target="/xl/worksheets/sheet69.xml" Id="Rc33839a237704977" /><Relationship Type="http://schemas.openxmlformats.org/officeDocument/2006/relationships/worksheet" Target="/xl/worksheets/sheet70.xml" Id="R451aa15475014f2f" /><Relationship Type="http://schemas.openxmlformats.org/officeDocument/2006/relationships/worksheet" Target="/xl/worksheets/sheet71.xml" Id="R66054a553faa4174" /><Relationship Type="http://schemas.openxmlformats.org/officeDocument/2006/relationships/worksheet" Target="/xl/worksheets/sheet72.xml" Id="Rde6c11856c5e4157" /><Relationship Type="http://schemas.openxmlformats.org/officeDocument/2006/relationships/worksheet" Target="/xl/worksheets/sheet73.xml" Id="R442c11bb81604d03" /><Relationship Type="http://schemas.openxmlformats.org/officeDocument/2006/relationships/worksheet" Target="/xl/worksheets/sheet74.xml" Id="R58eaae798d4846e8" /><Relationship Type="http://schemas.openxmlformats.org/officeDocument/2006/relationships/worksheet" Target="/xl/worksheets/sheet75.xml" Id="R39e942c71d4b4c78" /><Relationship Type="http://schemas.openxmlformats.org/officeDocument/2006/relationships/worksheet" Target="/xl/worksheets/sheet76.xml" Id="Rb794bbc46c924f75" /><Relationship Type="http://schemas.openxmlformats.org/officeDocument/2006/relationships/worksheet" Target="/xl/worksheets/sheet77.xml" Id="Rfaddb0d84d834f4c" /><Relationship Type="http://schemas.openxmlformats.org/officeDocument/2006/relationships/worksheet" Target="/xl/worksheets/sheet78.xml" Id="R3bf113f05e6d40dc" /><Relationship Type="http://schemas.openxmlformats.org/officeDocument/2006/relationships/worksheet" Target="/xl/worksheets/sheet79.xml" Id="Rc572548fd3474e28" /><Relationship Type="http://schemas.openxmlformats.org/officeDocument/2006/relationships/worksheet" Target="/xl/worksheets/sheet80.xml" Id="R2876d4df39784a74" /><Relationship Type="http://schemas.openxmlformats.org/officeDocument/2006/relationships/worksheet" Target="/xl/worksheets/sheet81.xml" Id="R493a1e1bc54a4b57" /><Relationship Type="http://schemas.openxmlformats.org/officeDocument/2006/relationships/worksheet" Target="/xl/worksheets/sheet82.xml" Id="R81d2c50740be4a4f" /><Relationship Type="http://schemas.openxmlformats.org/officeDocument/2006/relationships/worksheet" Target="/xl/worksheets/sheet83.xml" Id="R3ababc1c86d34fe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6" hidden="0" customWidth="1"/>
  </x:cols>
  <x:sheetData>
    <x:row r="1" ht="30" customHeight="1">
      <x:c r="A1" s="34" t="str">
        <x:v>Final aggregate results workbook</x:v>
      </x:c>
      <x:c r="B1" s="34"/>
      <x:c r="C1" s="34"/>
      <x:c r="D1" s="34"/>
      <x:c r="E1" s="34"/>
      <x:c r="F1" s="34"/>
      <x:c r="G1" s="34"/>
      <x:c r="H1" s="34"/>
    </x:row>
    <x:row r="2" ht="34" customHeight="1">
      <x:c r="A2" s="40" t="str">
        <x:v>BJA revision v6: bidirectional misclassification of intraoperative hypotension exposure</x:v>
      </x:c>
      <x:c r="B2" s="40"/>
      <x:c r="C2" s="40"/>
      <x:c r="D2" s="40"/>
      <x:c r="E2" s="40"/>
      <x:c r="F2" s="40"/>
      <x:c r="G2" s="40"/>
      <x:c r="H2" s="40"/>
    </x:row>
    <x:row r="4">
      <x:c r="A4" s="44" t="str">
        <x:v>Data freeze</x:v>
      </x:c>
      <x:c r="B4" s="45" t="str">
        <x:v>2026-07-10</x:v>
      </x:c>
    </x:row>
    <x:row r="5">
      <x:c r="A5" s="44" t="str">
        <x:v>Primary cohort</x:v>
      </x:c>
      <x:c r="B5" s="45" t="str">
        <x:v>2435 VitalDB arterial-series cases</x:v>
      </x:c>
    </x:row>
    <x:row r="6">
      <x:c r="A6" s="44" t="str">
        <x:v>Primary estimand</x:v>
      </x:c>
      <x:c r="B6" s="45" t="str">
        <x:v>HDR for MAP &lt;65 mm Hg under phase-averaged fixed 5-min display</x:v>
      </x:c>
    </x:row>
    <x:row r="7">
      <x:c r="A7" s="44" t="str">
        <x:v>Key secondary</x:v>
      </x:c>
      <x:c r="B7" s="45" t="str">
        <x:v>ODR and net bias, with visible and unavailable-display components separated</x:v>
      </x:c>
    </x:row>
    <x:row r="8">
      <x:c r="A8" s="44" t="str">
        <x:v>Uncertainty</x:v>
      </x:c>
      <x:c r="B8" s="45" t="str">
        <x:v>1000 case-cluster bootstrap replicates; seed 20260706</x:v>
      </x:c>
    </x:row>
    <x:row r="9">
      <x:c r="A9" s="44" t="str">
        <x:v>NIBP subset</x:v>
      </x:c>
      <x:c r="B9" s="45" t="str">
        <x:v>Predefined first 500 candidates; 365 mechanism cases; 347 paired-agreement cases</x:v>
      </x:c>
    </x:row>
    <x:row r="10">
      <x:c r="A10" s="44" t="str">
        <x:v>Raw datasets</x:v>
      </x:c>
      <x:c r="B10" s="45" t="str">
        <x:v>VitalDB, MoVeR, and INSPIRE are not redistributed</x:v>
      </x:c>
    </x:row>
    <x:row r="11">
      <x:c r="A11" s="44" t="str">
        <x:v>Privacy scope</x:v>
      </x:c>
      <x:c r="B11" s="45" t="str">
        <x:v>No case-level trajectories, paired events, source manifests, or local configuration files</x:v>
      </x:c>
    </x:row>
    <x:row r="12">
      <x:c r="A12" s="44" t="str">
        <x:v>Use</x:v>
      </x:c>
      <x:c r="B12" s="45" t="str">
        <x:v>One sheet per non-identifiable aggregate table; see 01_INDEX and 04_EXCLUSIONS</x:v>
      </x:c>
    </x:row>
    <x:row r="14">
      <x:c r="A14" s="42" t="str">
        <x:v>Interpretive boundaries</x:v>
      </x:c>
      <x:c r="B14" s="42"/>
      <x:c r="C14" s="42"/>
      <x:c r="D14" s="42"/>
      <x:c r="E14" s="42"/>
      <x:c r="F14" s="42"/>
      <x:c r="G14" s="42"/>
      <x:c r="H14" s="42"/>
    </x:row>
    <x:row r="15">
      <x:c r="A15" s="50" t="str">
        <x:v>MoVeR failed the direct-waveform gate; no direct waveform claim is made.</x:v>
      </x:c>
      <x:c r="B15" s="50"/>
      <x:c r="C15" s="50"/>
      <x:c r="D15" s="50"/>
      <x:c r="E15" s="50"/>
      <x:c r="F15" s="50"/>
      <x:c r="G15" s="50"/>
      <x:c r="H15" s="50"/>
    </x:row>
    <x:row r="16">
      <x:c r="A16" s="50" t="str">
        <x:v>INSPIRE supports transportability and resource scenarios only; it is not arterial-reference validation.</x:v>
      </x:c>
      <x:c r="B16" s="50"/>
      <x:c r="C16" s="50"/>
      <x:c r="D16" s="50"/>
      <x:c r="E16" s="50"/>
      <x:c r="F16" s="50"/>
      <x:c r="G16" s="50"/>
      <x:c r="H16" s="50"/>
    </x:row>
    <x:row r="17">
      <x:c r="A17" s="50" t="str">
        <x:v>Monitoring-policy simulations are hypothesis-generating and do not establish postoperative outcome benefit.</x:v>
      </x:c>
      <x:c r="B17" s="50"/>
      <x:c r="C17" s="50"/>
      <x:c r="D17" s="50"/>
      <x:c r="E17" s="50"/>
      <x:c r="F17" s="50"/>
      <x:c r="G17" s="50"/>
      <x:c r="H17" s="50"/>
    </x:row>
    <x:row r="18">
      <x:c r="A18" s="50" t="str">
        <x:v>Arterial MAP is a high-frequency reference trajectory, not error-free physiological truth.</x:v>
      </x:c>
      <x:c r="B18" s="50"/>
      <x:c r="C18" s="50"/>
      <x:c r="D18" s="50"/>
      <x:c r="E18" s="50"/>
      <x:c r="F18" s="50"/>
      <x:c r="G18" s="50"/>
      <x:c r="H18" s="50"/>
    </x:row>
  </x:sheetData>
  <x:mergeCells>
    <x:mergeCell ref="A1:H1"/>
    <x:mergeCell ref="A2:H2"/>
    <x:mergeCell ref="A14:H14"/>
    <x:mergeCell ref="A15:H15"/>
    <x:mergeCell ref="A16:H16"/>
    <x:mergeCell ref="A17:H17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34" hidden="0" customWidth="1"/>
    <x:col min="3" max="3" width="11" hidden="0" customWidth="1"/>
    <x:col min="4" max="4" width="10" hidden="0" customWidth="1"/>
    <x:col min="5" max="5" width="23" hidden="0" customWidth="1"/>
    <x:col min="6" max="6" width="34" hidden="0" customWidth="1"/>
  </x:cols>
  <x:sheetData>
    <x:row r="1" ht="32" customHeight="1">
      <x:c r="A1" s="14" t="str">
        <x:v>Workbook index</x:v>
      </x:c>
      <x:c r="B1" s="14"/>
      <x:c r="C1" s="14"/>
      <x:c r="D1" s="14"/>
      <x:c r="E1" s="14"/>
      <x:c r="F1" s="14"/>
    </x:row>
    <x:row r="2" ht="34" customHeight="1">
      <x:c r="A2" s="63" t="str">
        <x:v>Every included worksheet is a non-identifiable aggregate table; source paths are repository-relative.</x:v>
      </x:c>
      <x:c r="B2" s="63"/>
      <x:c r="C2" s="66"/>
      <x:c r="D2" s="66"/>
      <x:c r="E2" s="63"/>
      <x:c r="F2" s="63"/>
    </x:row>
    <x:row r="3">
      <x:c r="A3" s="8"/>
      <x:c r="B3" s="8"/>
      <x:c r="C3" s="16"/>
      <x:c r="D3" s="16"/>
      <x:c r="E3" s="8"/>
      <x:c r="F3" s="8"/>
    </x:row>
    <x:row r="4">
      <x:c r="A4" s="8" t="str">
        <x:v>Sheet</x:v>
      </x:c>
      <x:c r="B4" s="8" t="str">
        <x:v>Source CSV</x:v>
      </x:c>
      <x:c r="C4" s="16" t="str">
        <x:v>Data rows</x:v>
      </x:c>
      <x:c r="D4" s="16" t="str">
        <x:v>Columns</x:v>
      </x:c>
      <x:c r="E4" s="8" t="str">
        <x:v>Scope</x:v>
      </x:c>
      <x:c r="F4" s="8" t="str">
        <x:v>Description</x:v>
      </x:c>
    </x:row>
    <x:row r="5">
      <x:c r="A5" s="8" t="str">
        <x:v>Analysis_Window</x:v>
      </x:c>
      <x:c r="B5" s="8" t="str">
        <x:v>outputs/tables/analytic_time_window_specification.csv</x:v>
      </x:c>
      <x:c r="C5" s="16" t="n">
        <x:v>1</x:v>
      </x:c>
      <x:c r="D5" s="16" t="n">
        <x:v>4</x:v>
      </x:c>
      <x:c r="E5" s="8" t="str">
        <x:v>Aggregate/public-safe</x:v>
      </x:c>
      <x:c r="F5" s="8" t="str">
        <x:v>analytic time window specification</x:v>
      </x:c>
    </x:row>
    <x:row r="6">
      <x:c r="A6" s="8" t="str">
        <x:v>Cohort_Flow</x:v>
      </x:c>
      <x:c r="B6" s="8" t="str">
        <x:v>outputs/tables/cohort_flow.csv</x:v>
      </x:c>
      <x:c r="C6" s="16" t="n">
        <x:v>7</x:v>
      </x:c>
      <x:c r="D6" s="16" t="n">
        <x:v>3</x:v>
      </x:c>
      <x:c r="E6" s="8" t="str">
        <x:v>Aggregate/public-safe</x:v>
      </x:c>
      <x:c r="F6" s="8" t="str">
        <x:v>cohort flow</x:v>
      </x:c>
    </x:row>
    <x:row r="7">
      <x:c r="A7" s="8" t="str">
        <x:v>Cohort_Overlap</x:v>
      </x:c>
      <x:c r="B7" s="8" t="str">
        <x:v>outputs/tables/cohort_membership_overlap.csv</x:v>
      </x:c>
      <x:c r="C7" s="16" t="n">
        <x:v>9</x:v>
      </x:c>
      <x:c r="D7" s="16" t="n">
        <x:v>2</x:v>
      </x:c>
      <x:c r="E7" s="8" t="str">
        <x:v>Aggregate/public-safe</x:v>
      </x:c>
      <x:c r="F7" s="8" t="str">
        <x:v>cohort membership overlap</x:v>
      </x:c>
    </x:row>
    <x:row r="8">
      <x:c r="A8" s="8" t="str">
        <x:v>Episode_By_Duration</x:v>
      </x:c>
      <x:c r="B8" s="8" t="str">
        <x:v>outputs/tables/episode_detection_by_duration.csv</x:v>
      </x:c>
      <x:c r="C8" s="16" t="n">
        <x:v>75</x:v>
      </x:c>
      <x:c r="D8" s="16" t="n">
        <x:v>9</x:v>
      </x:c>
      <x:c r="E8" s="8" t="str">
        <x:v>Aggregate/public-safe</x:v>
      </x:c>
      <x:c r="F8" s="8" t="str">
        <x:v>episode detection by duration</x:v>
      </x:c>
    </x:row>
    <x:row r="9">
      <x:c r="A9" s="8" t="str">
        <x:v>Episode_Detect_by_Thresh_interv</x:v>
      </x:c>
      <x:c r="B9" s="8" t="str">
        <x:v>outputs/tables/episode_detection_by_threshold_interval.csv</x:v>
      </x:c>
      <x:c r="C9" s="16" t="n">
        <x:v>15</x:v>
      </x:c>
      <x:c r="D9" s="16" t="n">
        <x:v>7</x:v>
      </x:c>
      <x:c r="E9" s="8" t="str">
        <x:v>Aggregate/public-safe</x:v>
      </x:c>
      <x:c r="F9" s="8" t="str">
        <x:v>episode detection by threshold interval</x:v>
      </x:c>
    </x:row>
    <x:row r="10">
      <x:c r="A10" s="8" t="str">
        <x:v>Episode_Detection</x:v>
      </x:c>
      <x:c r="B10" s="8" t="str">
        <x:v>outputs/tables/episode_detection_frequency.csv</x:v>
      </x:c>
      <x:c r="C10" s="16" t="n">
        <x:v>15</x:v>
      </x:c>
      <x:c r="D10" s="16" t="n">
        <x:v>7</x:v>
      </x:c>
      <x:c r="E10" s="8" t="str">
        <x:v>Aggregate/public-safe</x:v>
      </x:c>
      <x:c r="F10" s="8" t="str">
        <x:v>episode detection frequency</x:v>
      </x:c>
    </x:row>
    <x:row r="11">
      <x:c r="A11" s="8" t="str">
        <x:v>Figure1_Source</x:v>
      </x:c>
      <x:c r="B11" s="8" t="str">
        <x:v>outputs/tables/figure1_source.csv</x:v>
      </x:c>
      <x:c r="C11" s="16" t="n">
        <x:v>60</x:v>
      </x:c>
      <x:c r="D11" s="16" t="n">
        <x:v>3</x:v>
      </x:c>
      <x:c r="E11" s="8" t="str">
        <x:v>Aggregate/public-safe</x:v>
      </x:c>
      <x:c r="F11" s="8" t="str">
        <x:v>figure1 source</x:v>
      </x:c>
    </x:row>
    <x:row r="12">
      <x:c r="A12" s="8" t="str">
        <x:v>Figure2_Source</x:v>
      </x:c>
      <x:c r="B12" s="8" t="str">
        <x:v>outputs/tables/figure2_source.csv</x:v>
      </x:c>
      <x:c r="C12" s="16" t="n">
        <x:v>15</x:v>
      </x:c>
      <x:c r="D12" s="16" t="n">
        <x:v>46</x:v>
      </x:c>
      <x:c r="E12" s="8" t="str">
        <x:v>Aggregate/public-safe</x:v>
      </x:c>
      <x:c r="F12" s="8" t="str">
        <x:v>figure2 source</x:v>
      </x:c>
    </x:row>
    <x:row r="13">
      <x:c r="A13" s="8" t="str">
        <x:v>Figure4_Source</x:v>
      </x:c>
      <x:c r="B13" s="8" t="str">
        <x:v>outputs/tables/figure4_source.csv</x:v>
      </x:c>
      <x:c r="C13" s="16" t="n">
        <x:v>9</x:v>
      </x:c>
      <x:c r="D13" s="16" t="n">
        <x:v>28</x:v>
      </x:c>
      <x:c r="E13" s="8" t="str">
        <x:v>Aggregate/public-safe</x:v>
      </x:c>
      <x:c r="F13" s="8" t="str">
        <x:v>figure4 source</x:v>
      </x:c>
    </x:row>
    <x:row r="14">
      <x:c r="A14" s="8" t="str">
        <x:v>Frequency_Population</x:v>
      </x:c>
      <x:c r="B14" s="8" t="str">
        <x:v>outputs/tables/frequency_decomp_population.csv</x:v>
      </x:c>
      <x:c r="C14" s="16" t="n">
        <x:v>15</x:v>
      </x:c>
      <x:c r="D14" s="16" t="n">
        <x:v>46</x:v>
      </x:c>
      <x:c r="E14" s="8" t="str">
        <x:v>Aggregate/public-safe</x:v>
      </x:c>
      <x:c r="F14" s="8" t="str">
        <x:v>frequency decomp population</x:v>
      </x:c>
    </x:row>
    <x:row r="15">
      <x:c r="A15" s="8" t="str">
        <x:v>Frequency_Primary</x:v>
      </x:c>
      <x:c r="B15" s="8" t="str">
        <x:v>outputs/tables/frequency_decomposition_bootstrap.csv</x:v>
      </x:c>
      <x:c r="C15" s="16" t="n">
        <x:v>15</x:v>
      </x:c>
      <x:c r="D15" s="16" t="n">
        <x:v>46</x:v>
      </x:c>
      <x:c r="E15" s="8" t="str">
        <x:v>Aggregate/public-safe</x:v>
      </x:c>
      <x:c r="F15" s="8" t="str">
        <x:v>frequency decomposition bootstrap</x:v>
      </x:c>
    </x:row>
    <x:row r="16">
      <x:c r="A16" s="8" t="str">
        <x:v>Frequency_Denominators</x:v>
      </x:c>
      <x:c r="B16" s="8" t="str">
        <x:v>outputs/tables/frequency_denominator_checks.csv</x:v>
      </x:c>
      <x:c r="C16" s="16" t="n">
        <x:v>15</x:v>
      </x:c>
      <x:c r="D16" s="16" t="n">
        <x:v>8</x:v>
      </x:c>
      <x:c r="E16" s="8" t="str">
        <x:v>Aggregate/public-safe</x:v>
      </x:c>
      <x:c r="F16" s="8" t="str">
        <x:v>frequency denominator checks</x:v>
      </x:c>
    </x:row>
    <x:row r="17">
      <x:c r="A17" s="8" t="str">
        <x:v>INSPIRE_guardrail_report</x:v>
      </x:c>
      <x:c r="B17" s="8" t="str">
        <x:v>outputs/tables/inspire_guardrail_report.csv</x:v>
      </x:c>
      <x:c r="C17" s="16" t="n">
        <x:v>1</x:v>
      </x:c>
      <x:c r="D17" s="16" t="n">
        <x:v>3</x:v>
      </x:c>
      <x:c r="E17" s="8" t="str">
        <x:v>Aggregate/public-safe</x:v>
      </x:c>
      <x:c r="F17" s="8" t="str">
        <x:v>inspire guardrail report</x:v>
      </x:c>
    </x:row>
    <x:row r="18">
      <x:c r="A18" s="8" t="str">
        <x:v>INSPIRE_resource_burden</x:v>
      </x:c>
      <x:c r="B18" s="8" t="str">
        <x:v>outputs/tables/inspire_resource_burden.csv</x:v>
      </x:c>
      <x:c r="C18" s="16" t="n">
        <x:v>9</x:v>
      </x:c>
      <x:c r="D18" s="16" t="n">
        <x:v>7</x:v>
      </x:c>
      <x:c r="E18" s="8" t="str">
        <x:v>Aggregate/public-safe</x:v>
      </x:c>
      <x:c r="F18" s="8" t="str">
        <x:v>inspire resource burden</x:v>
      </x:c>
    </x:row>
    <x:row r="19">
      <x:c r="A19" s="8" t="str">
        <x:v>INSPIRE_Resources</x:v>
      </x:c>
      <x:c r="B19" s="8" t="str">
        <x:v>outputs/tables/inspire_resource_scenarios.csv</x:v>
      </x:c>
      <x:c r="C19" s="16" t="n">
        <x:v>9</x:v>
      </x:c>
      <x:c r="D19" s="16" t="n">
        <x:v>7</x:v>
      </x:c>
      <x:c r="E19" s="8" t="str">
        <x:v>Aggregate/public-safe</x:v>
      </x:c>
      <x:c r="F19" s="8" t="str">
        <x:v>inspire resource scenarios</x:v>
      </x:c>
    </x:row>
    <x:row r="20">
      <x:c r="A20" s="8" t="str">
        <x:v>linkage_gate_report</x:v>
      </x:c>
      <x:c r="B20" s="8" t="str">
        <x:v>outputs/tables/linkage_gate_report.csv</x:v>
      </x:c>
      <x:c r="C20" s="16" t="n">
        <x:v>1</x:v>
      </x:c>
      <x:c r="D20" s="16" t="n">
        <x:v>10</x:v>
      </x:c>
      <x:c r="E20" s="8" t="str">
        <x:v>Aggregate/public-safe</x:v>
      </x:c>
      <x:c r="F20" s="8" t="str">
        <x:v>linkage gate report</x:v>
      </x:c>
    </x:row>
    <x:row r="21">
      <x:c r="A21" s="8" t="str">
        <x:v>metric_definition_dictionary</x:v>
      </x:c>
      <x:c r="B21" s="8" t="str">
        <x:v>outputs/tables/metric_definition_dictionary.csv</x:v>
      </x:c>
      <x:c r="C21" s="16" t="n">
        <x:v>5</x:v>
      </x:c>
      <x:c r="D21" s="16" t="n">
        <x:v>3</x:v>
      </x:c>
      <x:c r="E21" s="8" t="str">
        <x:v>Aggregate/public-safe</x:v>
      </x:c>
      <x:c r="F21" s="8" t="str">
        <x:v>metric definition dictionary</x:v>
      </x:c>
    </x:row>
    <x:row r="22">
      <x:c r="A22" s="8" t="str">
        <x:v>Missed_Severe_Episodes</x:v>
      </x:c>
      <x:c r="B22" s="8" t="str">
        <x:v>outputs/tables/missed_severe_episodes.csv</x:v>
      </x:c>
      <x:c r="C22" s="16" t="n">
        <x:v>45</x:v>
      </x:c>
      <x:c r="D22" s="16" t="n">
        <x:v>9</x:v>
      </x:c>
      <x:c r="E22" s="8" t="str">
        <x:v>Aggregate/public-safe</x:v>
      </x:c>
      <x:c r="F22" s="8" t="str">
        <x:v>missed severe episodes</x:v>
      </x:c>
    </x:row>
    <x:row r="23">
      <x:c r="A23" s="8" t="str">
        <x:v>MoVeR_Gate</x:v>
      </x:c>
      <x:c r="B23" s="8" t="str">
        <x:v>outputs/tables/mover_gate_audit.csv</x:v>
      </x:c>
      <x:c r="C23" s="16" t="n">
        <x:v>1</x:v>
      </x:c>
      <x:c r="D23" s="16" t="n">
        <x:v>10</x:v>
      </x:c>
      <x:c r="E23" s="8" t="str">
        <x:v>Aggregate/public-safe</x:v>
      </x:c>
      <x:c r="F23" s="8" t="str">
        <x:v>mover gate audit</x:v>
      </x:c>
    </x:row>
    <x:row r="24">
      <x:c r="A24" s="8" t="str">
        <x:v>NIBP_Arterial_Strata</x:v>
      </x:c>
      <x:c r="B24" s="8" t="str">
        <x:v>outputs/tables/nibp_bland_altman_by_stratum.csv</x:v>
      </x:c>
      <x:c r="C24" s="16" t="n">
        <x:v>5</x:v>
      </x:c>
      <x:c r="D24" s="16" t="n">
        <x:v>10</x:v>
      </x:c>
      <x:c r="E24" s="8" t="str">
        <x:v>Aggregate/public-safe</x:v>
      </x:c>
      <x:c r="F24" s="8" t="str">
        <x:v>nibp bland altman by stratum</x:v>
      </x:c>
    </x:row>
    <x:row r="25">
      <x:c r="A25" s="8" t="str">
        <x:v>NIBP_bland_altman_summary</x:v>
      </x:c>
      <x:c r="B25" s="8" t="str">
        <x:v>outputs/tables/nibp_bland_altman_summary.csv</x:v>
      </x:c>
      <x:c r="C25" s="16" t="n">
        <x:v>1</x:v>
      </x:c>
      <x:c r="D25" s="16" t="n">
        <x:v>7</x:v>
      </x:c>
      <x:c r="E25" s="8" t="str">
        <x:v>Aggregate/public-safe</x:v>
      </x:c>
      <x:c r="F25" s="8" t="str">
        <x:v>nibp bland altman summary</x:v>
      </x:c>
    </x:row>
    <x:row r="26">
      <x:c r="A26" s="8" t="str">
        <x:v>NIBP_Case_Flow</x:v>
      </x:c>
      <x:c r="B26" s="8" t="str">
        <x:v>outputs/tables/nibp_case_flow_detailed.csv</x:v>
      </x:c>
      <x:c r="C26" s="16" t="n">
        <x:v>8</x:v>
      </x:c>
      <x:c r="D26" s="16" t="n">
        <x:v>5</x:v>
      </x:c>
      <x:c r="E26" s="8" t="str">
        <x:v>Aggregate/public-safe</x:v>
      </x:c>
      <x:c r="F26" s="8" t="str">
        <x:v>nibp case flow detailed</x:v>
      </x:c>
    </x:row>
    <x:row r="27">
      <x:c r="A27" s="8" t="str">
        <x:v>NIBP_collapse_flow</x:v>
      </x:c>
      <x:c r="B27" s="8" t="str">
        <x:v>outputs/tables/nibp_collapse_flow.csv</x:v>
      </x:c>
      <x:c r="C27" s="16" t="n">
        <x:v>1</x:v>
      </x:c>
      <x:c r="D27" s="16" t="n">
        <x:v>7</x:v>
      </x:c>
      <x:c r="E27" s="8" t="str">
        <x:v>Aggregate/public-safe</x:v>
      </x:c>
      <x:c r="F27" s="8" t="str">
        <x:v>nibp collapse flow</x:v>
      </x:c>
    </x:row>
    <x:row r="28">
      <x:c r="A28" s="8" t="str">
        <x:v>NIBP_dedup_Sens</x:v>
      </x:c>
      <x:c r="B28" s="8" t="str">
        <x:v>outputs/tables/nibp_dedup_sensitivity.csv</x:v>
      </x:c>
      <x:c r="C28" s="16" t="n">
        <x:v>16</x:v>
      </x:c>
      <x:c r="D28" s="16" t="n">
        <x:v>5</x:v>
      </x:c>
      <x:c r="E28" s="8" t="str">
        <x:v>Aggregate/public-safe</x:v>
      </x:c>
      <x:c r="F28" s="8" t="str">
        <x:v>nibp dedup sensitivity</x:v>
      </x:c>
    </x:row>
    <x:row r="29">
      <x:c r="A29" s="8" t="str">
        <x:v>NIBP_dedup_Sens_grid</x:v>
      </x:c>
      <x:c r="B29" s="8" t="str">
        <x:v>outputs/tables/nibp_dedup_sensitivity_grid.csv</x:v>
      </x:c>
      <x:c r="C29" s="16" t="n">
        <x:v>16</x:v>
      </x:c>
      <x:c r="D29" s="16" t="n">
        <x:v>5</x:v>
      </x:c>
      <x:c r="E29" s="8" t="str">
        <x:v>Aggregate/public-safe</x:v>
      </x:c>
      <x:c r="F29" s="8" t="str">
        <x:v>nibp dedup sensitivity grid</x:v>
      </x:c>
    </x:row>
    <x:row r="30">
      <x:c r="A30" s="8" t="str">
        <x:v>NIBP_Display_retention_audit</x:v>
      </x:c>
      <x:c r="B30" s="8" t="str">
        <x:v>outputs/tables/nibp_display_retention_audit.csv</x:v>
      </x:c>
      <x:c r="C30" s="16" t="n">
        <x:v>1</x:v>
      </x:c>
      <x:c r="D30" s="16" t="n">
        <x:v>7</x:v>
      </x:c>
      <x:c r="E30" s="8" t="str">
        <x:v>Aggregate/public-safe</x:v>
      </x:c>
      <x:c r="F30" s="8" t="str">
        <x:v>nibp display retention audit</x:v>
      </x:c>
    </x:row>
    <x:row r="31">
      <x:c r="A31" s="8" t="str">
        <x:v>NIBP_Display_Valid_Decomp</x:v>
      </x:c>
      <x:c r="B31" s="8" t="str">
        <x:v>outputs/tables/nibp_display_validity_decomposition.csv</x:v>
      </x:c>
      <x:c r="C31" s="16" t="n">
        <x:v>18</x:v>
      </x:c>
      <x:c r="D31" s="16" t="n">
        <x:v>49</x:v>
      </x:c>
      <x:c r="E31" s="8" t="str">
        <x:v>Aggregate/public-safe</x:v>
      </x:c>
      <x:c r="F31" s="8" t="str">
        <x:v>nibp display validity decomposition</x:v>
      </x:c>
    </x:row>
    <x:row r="32">
      <x:c r="A32" s="8" t="str">
        <x:v>NIBP_Horizon_Sensitivity</x:v>
      </x:c>
      <x:c r="B32" s="8" t="str">
        <x:v>outputs/tables/nibp_display_validity_horizon_sensitivity.csv</x:v>
      </x:c>
      <x:c r="C32" s="16" t="n">
        <x:v>18</x:v>
      </x:c>
      <x:c r="D32" s="16" t="n">
        <x:v>49</x:v>
      </x:c>
      <x:c r="E32" s="8" t="str">
        <x:v>Aggregate/public-safe</x:v>
      </x:c>
      <x:c r="F32" s="8" t="str">
        <x:v>nibp display validity horizon sensitivity</x:v>
      </x:c>
    </x:row>
    <x:row r="33">
      <x:c r="A33" s="8" t="str">
        <x:v>NIBP_Episode_Detect</x:v>
      </x:c>
      <x:c r="B33" s="8" t="str">
        <x:v>outputs/tables/nibp_episode_detection.csv</x:v>
      </x:c>
      <x:c r="C33" s="16" t="n">
        <x:v>9</x:v>
      </x:c>
      <x:c r="D33" s="16" t="n">
        <x:v>8</x:v>
      </x:c>
      <x:c r="E33" s="8" t="str">
        <x:v>Aggregate/public-safe</x:v>
      </x:c>
      <x:c r="F33" s="8" t="str">
        <x:v>nibp episode detection</x:v>
      </x:c>
    </x:row>
    <x:row r="34">
      <x:c r="A34" s="8" t="str">
        <x:v>NIBP_event_audit</x:v>
      </x:c>
      <x:c r="B34" s="8" t="str">
        <x:v>outputs/tables/nibp_event_audit.csv</x:v>
      </x:c>
      <x:c r="C34" s="16" t="n">
        <x:v>1</x:v>
      </x:c>
      <x:c r="D34" s="16" t="n">
        <x:v>7</x:v>
      </x:c>
      <x:c r="E34" s="8" t="str">
        <x:v>Aggregate/public-safe</x:v>
      </x:c>
      <x:c r="F34" s="8" t="str">
        <x:v>nibp event audit</x:v>
      </x:c>
    </x:row>
    <x:row r="35">
      <x:c r="A35" s="8" t="str">
        <x:v>NIBP_event_Detect</x:v>
      </x:c>
      <x:c r="B35" s="8" t="str">
        <x:v>outputs/tables/nibp_event_detection.csv</x:v>
      </x:c>
      <x:c r="C35" s="16" t="n">
        <x:v>9</x:v>
      </x:c>
      <x:c r="D35" s="16" t="n">
        <x:v>19</x:v>
      </x:c>
      <x:c r="E35" s="8" t="str">
        <x:v>Aggregate/public-safe</x:v>
      </x:c>
      <x:c r="F35" s="8" t="str">
        <x:v>nibp event detection</x:v>
      </x:c>
    </x:row>
    <x:row r="36">
      <x:c r="A36" s="8" t="str">
        <x:v>NIBP_event_Detect_metrics</x:v>
      </x:c>
      <x:c r="B36" s="8" t="str">
        <x:v>outputs/tables/nibp_event_detection_metrics.csv</x:v>
      </x:c>
      <x:c r="C36" s="16" t="n">
        <x:v>3</x:v>
      </x:c>
      <x:c r="D36" s="16" t="n">
        <x:v>9</x:v>
      </x:c>
      <x:c r="E36" s="8" t="str">
        <x:v>Aggregate/public-safe</x:v>
      </x:c>
      <x:c r="F36" s="8" t="str">
        <x:v>nibp event detection metrics</x:v>
      </x:c>
    </x:row>
    <x:row r="37">
      <x:c r="A37" s="8" t="str">
        <x:v>NIBP_Event_Flow</x:v>
      </x:c>
      <x:c r="B37" s="8" t="str">
        <x:v>outputs/tables/nibp_event_flow_detailed.csv</x:v>
      </x:c>
      <x:c r="C37" s="16" t="n">
        <x:v>5</x:v>
      </x:c>
      <x:c r="D37" s="16" t="n">
        <x:v>4</x:v>
      </x:c>
      <x:c r="E37" s="8" t="str">
        <x:v>Aggregate/public-safe</x:v>
      </x:c>
      <x:c r="F37" s="8" t="str">
        <x:v>nibp event flow detailed</x:v>
      </x:c>
    </x:row>
    <x:row r="38">
      <x:c r="A38" s="8" t="str">
        <x:v>NIBP_Flow_Closure</x:v>
      </x:c>
      <x:c r="B38" s="8" t="str">
        <x:v>outputs/tables/nibp_flow_closure_checks.csv</x:v>
      </x:c>
      <x:c r="C38" s="16" t="n">
        <x:v>4</x:v>
      </x:c>
      <x:c r="D38" s="16" t="n">
        <x:v>4</x:v>
      </x:c>
      <x:c r="E38" s="8" t="str">
        <x:v>Aggregate/public-safe</x:v>
      </x:c>
      <x:c r="F38" s="8" t="str">
        <x:v>nibp flow closure checks</x:v>
      </x:c>
    </x:row>
    <x:row r="39">
      <x:c r="A39" s="8" t="str">
        <x:v>NIBP_Low_MAP_Coupling</x:v>
      </x:c>
      <x:c r="B39" s="8" t="str">
        <x:v>outputs/tables/nibp_low_map_coupling_sensitivity.csv</x:v>
      </x:c>
      <x:c r="C39" s="16" t="n">
        <x:v>3</x:v>
      </x:c>
      <x:c r="D39" s="16" t="n">
        <x:v>7</x:v>
      </x:c>
      <x:c r="E39" s="8" t="str">
        <x:v>Aggregate/public-safe</x:v>
      </x:c>
      <x:c r="F39" s="8" t="str">
        <x:v>nibp low map coupling sensitivity</x:v>
      </x:c>
    </x:row>
    <x:row r="40">
      <x:c r="A40" s="8" t="str">
        <x:v>NIBP_low_map_strata_bias</x:v>
      </x:c>
      <x:c r="B40" s="8" t="str">
        <x:v>outputs/tables/nibp_low_map_strata_bias.csv</x:v>
      </x:c>
      <x:c r="C40" s="16" t="n">
        <x:v>5</x:v>
      </x:c>
      <x:c r="D40" s="16" t="n">
        <x:v>10</x:v>
      </x:c>
      <x:c r="E40" s="8" t="str">
        <x:v>Aggregate/public-safe</x:v>
      </x:c>
      <x:c r="F40" s="8" t="str">
        <x:v>nibp low map strata bias</x:v>
      </x:c>
    </x:row>
    <x:row r="41">
      <x:c r="A41" s="8" t="str">
        <x:v>NIBP_Mechanism_CIs</x:v>
      </x:c>
      <x:c r="B41" s="8" t="str">
        <x:v>outputs/tables/nibp_mechanism_bootstrap.csv</x:v>
      </x:c>
      <x:c r="C41" s="16" t="n">
        <x:v>9</x:v>
      </x:c>
      <x:c r="D41" s="16" t="n">
        <x:v>17</x:v>
      </x:c>
      <x:c r="E41" s="8" t="str">
        <x:v>Aggregate/public-safe</x:v>
      </x:c>
      <x:c r="F41" s="8" t="str">
        <x:v>nibp mechanism bootstrap</x:v>
      </x:c>
    </x:row>
    <x:row r="42">
      <x:c r="A42" s="8" t="str">
        <x:v>NIBP_Mechanisms</x:v>
      </x:c>
      <x:c r="B42" s="8" t="str">
        <x:v>outputs/tables/nibp_mechanism_decomposition.csv</x:v>
      </x:c>
      <x:c r="C42" s="16" t="n">
        <x:v>12</x:v>
      </x:c>
      <x:c r="D42" s="16" t="n">
        <x:v>18</x:v>
      </x:c>
      <x:c r="E42" s="8" t="str">
        <x:v>Aggregate/public-safe</x:v>
      </x:c>
      <x:c r="F42" s="8" t="str">
        <x:v>nibp mechanism decomposition</x:v>
      </x:c>
    </x:row>
    <x:row r="43">
      <x:c r="A43" s="8" t="str">
        <x:v>NIBP_Events_Per_Case</x:v>
      </x:c>
      <x:c r="B43" s="8" t="str">
        <x:v>outputs/tables/nibp_pair_events_per_case_distribution.csv</x:v>
      </x:c>
      <x:c r="C43" s="16" t="n">
        <x:v>8</x:v>
      </x:c>
      <x:c r="D43" s="16" t="n">
        <x:v>2</x:v>
      </x:c>
      <x:c r="E43" s="8" t="str">
        <x:v>Aggregate/public-safe</x:v>
      </x:c>
      <x:c r="F43" s="8" t="str">
        <x:v>nibp pair events per case distribution</x:v>
      </x:c>
    </x:row>
    <x:row r="44">
      <x:c r="A44" s="8" t="str">
        <x:v>NIBP_Classification</x:v>
      </x:c>
      <x:c r="B44" s="8" t="str">
        <x:v>outputs/tables/nibp_paired_classification_clustered.csv</x:v>
      </x:c>
      <x:c r="C44" s="16" t="n">
        <x:v>3</x:v>
      </x:c>
      <x:c r="D44" s="16" t="n">
        <x:v>18</x:v>
      </x:c>
      <x:c r="E44" s="8" t="str">
        <x:v>Aggregate/public-safe</x:v>
      </x:c>
      <x:c r="F44" s="8" t="str">
        <x:v>nibp paired classification clustered</x:v>
      </x:c>
    </x:row>
    <x:row r="45">
      <x:c r="A45" s="8" t="str">
        <x:v>NIBP_PairedMean_Strata</x:v>
      </x:c>
      <x:c r="B45" s="8" t="str">
        <x:v>outputs/tables/nibp_paired_mean_strata_sensitivity.csv</x:v>
      </x:c>
      <x:c r="C45" s="16" t="n">
        <x:v>5</x:v>
      </x:c>
      <x:c r="D45" s="16" t="n">
        <x:v>10</x:v>
      </x:c>
      <x:c r="E45" s="8" t="str">
        <x:v>Aggregate/public-safe</x:v>
      </x:c>
      <x:c r="F45" s="8" t="str">
        <x:v>nibp paired mean strata sensitivity</x:v>
      </x:c>
    </x:row>
    <x:row r="46">
      <x:c r="A46" s="8" t="str">
        <x:v>NIBP_Pair_Failures</x:v>
      </x:c>
      <x:c r="B46" s="8" t="str">
        <x:v>outputs/tables/nibp_pairing_failure_reasons.csv</x:v>
      </x:c>
      <x:c r="C46" s="16" t="n">
        <x:v>2</x:v>
      </x:c>
      <x:c r="D46" s="16" t="n">
        <x:v>3</x:v>
      </x:c>
      <x:c r="E46" s="8" t="str">
        <x:v>Aggregate/public-safe</x:v>
      </x:c>
      <x:c r="F46" s="8" t="str">
        <x:v>nibp pairing failure reasons</x:v>
      </x:c>
    </x:row>
    <x:row r="47">
      <x:c r="A47" s="8" t="str">
        <x:v>NIBP_pairing_Sens</x:v>
      </x:c>
      <x:c r="B47" s="8" t="str">
        <x:v>outputs/tables/nibp_pairing_sensitivity.csv</x:v>
      </x:c>
      <x:c r="C47" s="16" t="n">
        <x:v>4</x:v>
      </x:c>
      <x:c r="D47" s="16" t="n">
        <x:v>7</x:v>
      </x:c>
      <x:c r="E47" s="8" t="str">
        <x:v>Aggregate/public-safe</x:v>
      </x:c>
      <x:c r="F47" s="8" t="str">
        <x:v>nibp pairing sensitivity</x:v>
      </x:c>
    </x:row>
    <x:row r="48">
      <x:c r="A48" s="8" t="str">
        <x:v>NIBP_pairing_Sens_grid</x:v>
      </x:c>
      <x:c r="B48" s="8" t="str">
        <x:v>outputs/tables/nibp_pairing_sensitivity_grid.csv</x:v>
      </x:c>
      <x:c r="C48" s="16" t="n">
        <x:v>4</x:v>
      </x:c>
      <x:c r="D48" s="16" t="n">
        <x:v>7</x:v>
      </x:c>
      <x:c r="E48" s="8" t="str">
        <x:v>Aggregate/public-safe</x:v>
      </x:c>
      <x:c r="F48" s="8" t="str">
        <x:v>nibp pairing sensitivity grid</x:v>
      </x:c>
    </x:row>
    <x:row r="49">
      <x:c r="A49" s="8" t="str">
        <x:v>NIBP_Repeated_BA</x:v>
      </x:c>
      <x:c r="B49" s="8" t="str">
        <x:v>outputs/tables/nibp_repeated_measures_bland_altman.csv</x:v>
      </x:c>
      <x:c r="C49" s="16" t="n">
        <x:v>5</x:v>
      </x:c>
      <x:c r="D49" s="16" t="n">
        <x:v>15</x:v>
      </x:c>
      <x:c r="E49" s="8" t="str">
        <x:v>Aggregate/public-safe</x:v>
      </x:c>
      <x:c r="F49" s="8" t="str">
        <x:v>nibp repeated measures bland altman</x:v>
      </x:c>
    </x:row>
    <x:row r="50">
      <x:c r="A50" s="8" t="str">
        <x:v>NIBP_Sample_Method</x:v>
      </x:c>
      <x:c r="B50" s="8" t="str">
        <x:v>outputs/tables/nibp_sample_selection_method.csv</x:v>
      </x:c>
      <x:c r="C50" s="16" t="n">
        <x:v>1</x:v>
      </x:c>
      <x:c r="D50" s="16" t="n">
        <x:v>7</x:v>
      </x:c>
      <x:c r="E50" s="8" t="str">
        <x:v>Aggregate/public-safe</x:v>
      </x:c>
      <x:c r="F50" s="8" t="str">
        <x:v>nibp sample selection method</x:v>
      </x:c>
    </x:row>
    <x:row r="51">
      <x:c r="A51" s="8" t="str">
        <x:v>NIBP_Representativeness</x:v>
      </x:c>
      <x:c r="B51" s="8" t="str">
        <x:v>outputs/tables/nibp_selected_vs_unselected_comparison.csv</x:v>
      </x:c>
      <x:c r="C51" s="16" t="n">
        <x:v>5</x:v>
      </x:c>
      <x:c r="D51" s="16" t="n">
        <x:v>6</x:v>
      </x:c>
      <x:c r="E51" s="8" t="str">
        <x:v>Aggregate/public-safe</x:v>
      </x:c>
      <x:c r="F51" s="8" t="str">
        <x:v>nibp selected vs unselected comparison</x:v>
      </x:c>
    </x:row>
    <x:row r="52">
      <x:c r="A52" s="8" t="str">
        <x:v>NIBP_Timestamps</x:v>
      </x:c>
      <x:c r="B52" s="8" t="str">
        <x:v>outputs/tables/nibp_timestamp_semantics.csv</x:v>
      </x:c>
      <x:c r="C52" s="16" t="n">
        <x:v>1</x:v>
      </x:c>
      <x:c r="D52" s="16" t="n">
        <x:v>5</x:v>
      </x:c>
      <x:c r="E52" s="8" t="str">
        <x:v>Aggregate/public-safe</x:v>
      </x:c>
      <x:c r="F52" s="8" t="str">
        <x:v>nibp timestamp semantics</x:v>
      </x:c>
    </x:row>
    <x:row r="53">
      <x:c r="A53" s="8" t="str">
        <x:v>Offset_Variability</x:v>
      </x:c>
      <x:c r="B53" s="8" t="str">
        <x:v>outputs/tables/offset_variability.csv</x:v>
      </x:c>
      <x:c r="C53" s="16" t="n">
        <x:v>15</x:v>
      </x:c>
      <x:c r="D53" s="16" t="n">
        <x:v>10</x:v>
      </x:c>
      <x:c r="E53" s="8" t="str">
        <x:v>Aggregate/public-safe</x:v>
      </x:c>
      <x:c r="F53" s="8" t="str">
        <x:v>offset variability</x:v>
      </x:c>
    </x:row>
    <x:row r="54">
      <x:c r="A54" s="8" t="str">
        <x:v>Package_Versions</x:v>
      </x:c>
      <x:c r="B54" s="8" t="str">
        <x:v>outputs/tables/python_package_versions.csv</x:v>
      </x:c>
      <x:c r="C54" s="16" t="n">
        <x:v>10</x:v>
      </x:c>
      <x:c r="D54" s="16" t="n">
        <x:v>2</x:v>
      </x:c>
      <x:c r="E54" s="8" t="str">
        <x:v>Aggregate/public-safe</x:v>
      </x:c>
      <x:c r="F54" s="8" t="str">
        <x:v>python package versions</x:v>
      </x:c>
    </x:row>
    <x:row r="55">
      <x:c r="A55" s="8" t="str">
        <x:v>Track_Cohort_Counts</x:v>
      </x:c>
      <x:c r="B55" s="8" t="str">
        <x:v>outputs/tables/selected_track_cohort_counts.csv</x:v>
      </x:c>
      <x:c r="C55" s="16" t="n">
        <x:v>3</x:v>
      </x:c>
      <x:c r="D55" s="16" t="n">
        <x:v>5</x:v>
      </x:c>
      <x:c r="E55" s="8" t="str">
        <x:v>Aggregate/public-safe</x:v>
      </x:c>
      <x:c r="F55" s="8" t="str">
        <x:v>selected track cohort counts</x:v>
      </x:c>
    </x:row>
    <x:row r="56">
      <x:c r="A56" s="8" t="str">
        <x:v>selective_continuous_frontier</x:v>
      </x:c>
      <x:c r="B56" s="8" t="str">
        <x:v>outputs/tables/selective_continuous_frontier.csv</x:v>
      </x:c>
      <x:c r="C56" s="16" t="n">
        <x:v>5</x:v>
      </x:c>
      <x:c r="D56" s="16" t="n">
        <x:v>7</x:v>
      </x:c>
      <x:c r="E56" s="8" t="str">
        <x:v>Aggregate/public-safe</x:v>
      </x:c>
      <x:c r="F56" s="8" t="str">
        <x:v>selective continuous frontier</x:v>
      </x:c>
    </x:row>
    <x:row r="57">
      <x:c r="A57" s="8" t="str">
        <x:v>shared_covariate_dictionary</x:v>
      </x:c>
      <x:c r="B57" s="8" t="str">
        <x:v>outputs/tables/shared_covariate_dictionary.csv</x:v>
      </x:c>
      <x:c r="C57" s="16" t="n">
        <x:v>5</x:v>
      </x:c>
      <x:c r="D57" s="16" t="n">
        <x:v>3</x:v>
      </x:c>
      <x:c r="E57" s="8" t="str">
        <x:v>Aggregate/public-safe</x:v>
      </x:c>
      <x:c r="F57" s="8" t="str">
        <x:v>shared covariate dictionary</x:v>
      </x:c>
    </x:row>
    <x:row r="58">
      <x:c r="A58" s="8" t="str">
        <x:v>smd_table</x:v>
      </x:c>
      <x:c r="B58" s="8" t="str">
        <x:v>outputs/tables/smd_table.csv</x:v>
      </x:c>
      <x:c r="C58" s="16" t="n">
        <x:v>4</x:v>
      </x:c>
      <x:c r="D58" s="16" t="n">
        <x:v>4</x:v>
      </x:c>
      <x:c r="E58" s="8" t="str">
        <x:v>Aggregate/public-safe</x:v>
      </x:c>
      <x:c r="F58" s="8" t="str">
        <x:v>smd table</x:v>
      </x:c>
    </x:row>
    <x:row r="59">
      <x:c r="A59" s="8" t="str">
        <x:v>Statsmodels_Usage</x:v>
      </x:c>
      <x:c r="B59" s="8" t="str">
        <x:v>outputs/tables/statsmodels_usage_audit.csv</x:v>
      </x:c>
      <x:c r="C59" s="16" t="n">
        <x:v>1</x:v>
      </x:c>
      <x:c r="D59" s="16" t="n">
        <x:v>4</x:v>
      </x:c>
      <x:c r="E59" s="8" t="str">
        <x:v>Aggregate/public-safe</x:v>
      </x:c>
      <x:c r="F59" s="8" t="str">
        <x:v>statsmodels usage audit</x:v>
      </x:c>
    </x:row>
    <x:row r="60">
      <x:c r="A60" s="8" t="str">
        <x:v>Strat_Decomp</x:v>
      </x:c>
      <x:c r="B60" s="8" t="str">
        <x:v>outputs/tables/strategy_decomposition.csv</x:v>
      </x:c>
      <x:c r="C60" s="16" t="n">
        <x:v>27</x:v>
      </x:c>
      <x:c r="D60" s="16" t="n">
        <x:v>23</x:v>
      </x:c>
      <x:c r="E60" s="8" t="str">
        <x:v>Aggregate/public-safe</x:v>
      </x:c>
      <x:c r="F60" s="8" t="str">
        <x:v>strategy decomposition</x:v>
      </x:c>
    </x:row>
    <x:row r="61">
      <x:c r="A61" s="8" t="str">
        <x:v>Strat_Display_series_audit</x:v>
      </x:c>
      <x:c r="B61" s="8" t="str">
        <x:v>outputs/tables/strategy_display_series_audit.csv</x:v>
      </x:c>
      <x:c r="C61" s="16" t="n">
        <x:v>27</x:v>
      </x:c>
      <x:c r="D61" s="16" t="n">
        <x:v>29</x:v>
      </x:c>
      <x:c r="E61" s="8" t="str">
        <x:v>Aggregate/public-safe</x:v>
      </x:c>
      <x:c r="F61" s="8" t="str">
        <x:v>strategy display series audit</x:v>
      </x:c>
    </x:row>
    <x:row r="62">
      <x:c r="A62" s="8" t="str">
        <x:v>Strategy_Frontier</x:v>
      </x:c>
      <x:c r="B62" s="8" t="str">
        <x:v>outputs/tables/strategy_efficiency_frontier.csv</x:v>
      </x:c>
      <x:c r="C62" s="16" t="n">
        <x:v>9</x:v>
      </x:c>
      <x:c r="D62" s="16" t="n">
        <x:v>28</x:v>
      </x:c>
      <x:c r="E62" s="8" t="str">
        <x:v>Aggregate/public-safe</x:v>
      </x:c>
      <x:c r="F62" s="8" t="str">
        <x:v>strategy efficiency frontier</x:v>
      </x:c>
    </x:row>
    <x:row r="63">
      <x:c r="A63" s="8" t="str">
        <x:v>Strategy_Phase</x:v>
      </x:c>
      <x:c r="B63" s="8" t="str">
        <x:v>outputs/tables/strategy_phase_convention_audit.csv</x:v>
      </x:c>
      <x:c r="C63" s="16" t="n">
        <x:v>3</x:v>
      </x:c>
      <x:c r="D63" s="16" t="n">
        <x:v>9</x:v>
      </x:c>
      <x:c r="E63" s="8" t="str">
        <x:v>Aggregate/public-safe</x:v>
      </x:c>
      <x:c r="F63" s="8" t="str">
        <x:v>strategy phase convention audit</x:v>
      </x:c>
    </x:row>
    <x:row r="64">
      <x:c r="A64" s="8" t="str">
        <x:v>Strategy_Rules</x:v>
      </x:c>
      <x:c r="B64" s="8" t="str">
        <x:v>outputs/tables/strategy_rule_specification.csv</x:v>
      </x:c>
      <x:c r="C64" s="16" t="n">
        <x:v>27</x:v>
      </x:c>
      <x:c r="D64" s="16" t="n">
        <x:v>3</x:v>
      </x:c>
      <x:c r="E64" s="8" t="str">
        <x:v>Aggregate/public-safe</x:v>
      </x:c>
      <x:c r="F64" s="8" t="str">
        <x:v>strategy rule specification</x:v>
      </x:c>
    </x:row>
    <x:row r="65">
      <x:c r="A65" s="8" t="str">
        <x:v>supp_NIBP_Detect_all_thresholds</x:v>
      </x:c>
      <x:c r="B65" s="8" t="str">
        <x:v>outputs/tables/supp_nibp_detection_all_thresholds.csv</x:v>
      </x:c>
      <x:c r="C65" s="16" t="n">
        <x:v>9</x:v>
      </x:c>
      <x:c r="D65" s="16" t="n">
        <x:v>25</x:v>
      </x:c>
      <x:c r="E65" s="8" t="str">
        <x:v>Aggregate/public-safe</x:v>
      </x:c>
      <x:c r="F65" s="8" t="str">
        <x:v>supp nibp detection all thresholds</x:v>
      </x:c>
    </x:row>
    <x:row r="66">
      <x:c r="A66" s="8" t="str">
        <x:v>supp_NIBP_subset_characteristic</x:v>
      </x:c>
      <x:c r="B66" s="8" t="str">
        <x:v>outputs/tables/supp_nibp_subset_characteristics.csv</x:v>
      </x:c>
      <x:c r="C66" s="16" t="n">
        <x:v>21</x:v>
      </x:c>
      <x:c r="D66" s="16" t="n">
        <x:v>5</x:v>
      </x:c>
      <x:c r="E66" s="8" t="str">
        <x:v>Aggregate/public-safe</x:v>
      </x:c>
      <x:c r="F66" s="8" t="str">
        <x:v>supp nibp subset characteristics</x:v>
      </x:c>
    </x:row>
    <x:row r="67">
      <x:c r="A67" s="8" t="str">
        <x:v>Surgical_Exclusions</x:v>
      </x:c>
      <x:c r="B67" s="8" t="str">
        <x:v>outputs/tables/surgical_exclusion_flow.csv</x:v>
      </x:c>
      <x:c r="C67" s="16" t="n">
        <x:v>4</x:v>
      </x:c>
      <x:c r="D67" s="16" t="n">
        <x:v>6</x:v>
      </x:c>
      <x:c r="E67" s="8" t="str">
        <x:v>Aggregate/public-safe</x:v>
      </x:c>
      <x:c r="F67" s="8" t="str">
        <x:v>surgical exclusion flow</x:v>
      </x:c>
    </x:row>
    <x:row r="68">
      <x:c r="A68" s="8" t="str">
        <x:v>table1_data_roles</x:v>
      </x:c>
      <x:c r="B68" s="8" t="str">
        <x:v>outputs/tables/table1_data_roles.csv</x:v>
      </x:c>
      <x:c r="C68" s="16" t="n">
        <x:v>3</x:v>
      </x:c>
      <x:c r="D68" s="16" t="n">
        <x:v>4</x:v>
      </x:c>
      <x:c r="E68" s="8" t="str">
        <x:v>Aggregate/public-safe</x:v>
      </x:c>
      <x:c r="F68" s="8" t="str">
        <x:v>table1 data roles</x:v>
      </x:c>
    </x:row>
    <x:row r="69">
      <x:c r="A69" s="8" t="str">
        <x:v>table1_data_sources_roles_cohor</x:v>
      </x:c>
      <x:c r="B69" s="8" t="str">
        <x:v>outputs/tables/table1_data_sources_roles_cohort.csv</x:v>
      </x:c>
      <x:c r="C69" s="16" t="n">
        <x:v>3</x:v>
      </x:c>
      <x:c r="D69" s="16" t="n">
        <x:v>4</x:v>
      </x:c>
      <x:c r="E69" s="8" t="str">
        <x:v>Aggregate/public-safe</x:v>
      </x:c>
      <x:c r="F69" s="8" t="str">
        <x:v>table1 data sources roles cohort</x:v>
      </x:c>
    </x:row>
    <x:row r="70">
      <x:c r="A70" s="8" t="str">
        <x:v>table2_Freq</x:v>
      </x:c>
      <x:c r="B70" s="8" t="str">
        <x:v>outputs/tables/table2_frequency.csv</x:v>
      </x:c>
      <x:c r="C70" s="16" t="n">
        <x:v>15</x:v>
      </x:c>
      <x:c r="D70" s="16" t="n">
        <x:v>25</x:v>
      </x:c>
      <x:c r="E70" s="8" t="str">
        <x:v>Aggregate/public-safe</x:v>
      </x:c>
      <x:c r="F70" s="8" t="str">
        <x:v>table2 frequency</x:v>
      </x:c>
    </x:row>
    <x:row r="71">
      <x:c r="A71" s="8" t="str">
        <x:v>table2_Freq_Decomp</x:v>
      </x:c>
      <x:c r="B71" s="8" t="str">
        <x:v>outputs/tables/table2_frequency_decomposition.csv</x:v>
      </x:c>
      <x:c r="C71" s="16" t="n">
        <x:v>15</x:v>
      </x:c>
      <x:c r="D71" s="16" t="n">
        <x:v>25</x:v>
      </x:c>
      <x:c r="E71" s="8" t="str">
        <x:v>Aggregate/public-safe</x:v>
      </x:c>
      <x:c r="F71" s="8" t="str">
        <x:v>table2 frequency decomposition</x:v>
      </x:c>
    </x:row>
    <x:row r="72">
      <x:c r="A72" s="8" t="str">
        <x:v>table3_Actual_NIBP_timing_cuff_</x:v>
      </x:c>
      <x:c r="B72" s="8" t="str">
        <x:v>outputs/tables/table3_actual_nibp_timing_cuff_decomposition.csv</x:v>
      </x:c>
      <x:c r="C72" s="16" t="n">
        <x:v>12</x:v>
      </x:c>
      <x:c r="D72" s="16" t="n">
        <x:v>18</x:v>
      </x:c>
      <x:c r="E72" s="8" t="str">
        <x:v>Aggregate/public-safe</x:v>
      </x:c>
      <x:c r="F72" s="8" t="str">
        <x:v>table3 actual nibp timing cuff decomposition</x:v>
      </x:c>
    </x:row>
    <x:row r="73">
      <x:c r="A73" s="8" t="str">
        <x:v>table3_NIBP_mechanisms</x:v>
      </x:c>
      <x:c r="B73" s="8" t="str">
        <x:v>outputs/tables/table3_nibp_mechanisms.csv</x:v>
      </x:c>
      <x:c r="C73" s="16" t="n">
        <x:v>12</x:v>
      </x:c>
      <x:c r="D73" s="16" t="n">
        <x:v>18</x:v>
      </x:c>
      <x:c r="E73" s="8" t="str">
        <x:v>Aggregate/public-safe</x:v>
      </x:c>
      <x:c r="F73" s="8" t="str">
        <x:v>table3 nibp mechanisms</x:v>
      </x:c>
    </x:row>
    <x:row r="74">
      <x:c r="A74" s="8" t="str">
        <x:v>table4_Strat_efficiency_frontie</x:v>
      </x:c>
      <x:c r="B74" s="8" t="str">
        <x:v>outputs/tables/table4_strategy_efficiency_frontier.csv</x:v>
      </x:c>
      <x:c r="C74" s="16" t="n">
        <x:v>9</x:v>
      </x:c>
      <x:c r="D74" s="16" t="n">
        <x:v>15</x:v>
      </x:c>
      <x:c r="E74" s="8" t="str">
        <x:v>Aggregate/public-safe</x:v>
      </x:c>
      <x:c r="F74" s="8" t="str">
        <x:v>table4 strategy efficiency frontier</x:v>
      </x:c>
    </x:row>
    <x:row r="75">
      <x:c r="A75" s="8" t="str">
        <x:v>table4_Strat_frontier</x:v>
      </x:c>
      <x:c r="B75" s="8" t="str">
        <x:v>outputs/tables/table4_strategy_frontier.csv</x:v>
      </x:c>
      <x:c r="C75" s="16" t="n">
        <x:v>9</x:v>
      </x:c>
      <x:c r="D75" s="16" t="n">
        <x:v>15</x:v>
      </x:c>
      <x:c r="E75" s="8" t="str">
        <x:v>Aggregate/public-safe</x:v>
      </x:c>
      <x:c r="F75" s="8" t="str">
        <x:v>table4 strategy frontier</x:v>
      </x:c>
    </x:row>
    <x:row r="76">
      <x:c r="A76" s="8" t="str">
        <x:v>target_Pop_table</x:v>
      </x:c>
      <x:c r="B76" s="8" t="str">
        <x:v>outputs/tables/target_population_table.csv</x:v>
      </x:c>
      <x:c r="C76" s="16" t="n">
        <x:v>2</x:v>
      </x:c>
      <x:c r="D76" s="16" t="n">
        <x:v>2</x:v>
      </x:c>
      <x:c r="E76" s="8" t="str">
        <x:v>Aggregate/public-safe</x:v>
      </x:c>
      <x:c r="F76" s="8" t="str">
        <x:v>target population table</x:v>
      </x:c>
    </x:row>
    <x:row r="77">
      <x:c r="A77" s="8" t="str">
        <x:v>Window_Sensitivity</x:v>
      </x:c>
      <x:c r="B77" s="8" t="str">
        <x:v>outputs/tables/time_window_sensitivity_summary.csv</x:v>
      </x:c>
      <x:c r="C77" s="16" t="n">
        <x:v>2</x:v>
      </x:c>
      <x:c r="D77" s="16" t="n">
        <x:v>5</x:v>
      </x:c>
      <x:c r="E77" s="8" t="str">
        <x:v>Aggregate/public-safe</x:v>
      </x:c>
      <x:c r="F77" s="8" t="str">
        <x:v>time window sensitivity summary</x:v>
      </x:c>
    </x:row>
    <x:row r="78">
      <x:c r="A78" s="8" t="str">
        <x:v>Track_Selection</x:v>
      </x:c>
      <x:c r="B78" s="8" t="str">
        <x:v>outputs/tables/track_selection_audit.csv</x:v>
      </x:c>
      <x:c r="C78" s="16" t="n">
        <x:v>6</x:v>
      </x:c>
      <x:c r="D78" s="16" t="n">
        <x:v>7</x:v>
      </x:c>
      <x:c r="E78" s="8" t="str">
        <x:v>Aggregate/public-safe</x:v>
      </x:c>
      <x:c r="F78" s="8" t="str">
        <x:v>track selection audit</x:v>
      </x:c>
    </x:row>
    <x:row r="79">
      <x:c r="A79" s="8" t="str">
        <x:v>INSPIRE_Balance</x:v>
      </x:c>
      <x:c r="B79" s="8" t="str">
        <x:v>outputs/tables/transportability_smd.csv</x:v>
      </x:c>
      <x:c r="C79" s="16" t="n">
        <x:v>4</x:v>
      </x:c>
      <x:c r="D79" s="16" t="n">
        <x:v>6</x:v>
      </x:c>
      <x:c r="E79" s="8" t="str">
        <x:v>Aggregate/public-safe</x:v>
      </x:c>
      <x:c r="F79" s="8" t="str">
        <x:v>transportability smd</x:v>
      </x:c>
    </x:row>
    <x:row r="80">
      <x:c r="A80" t="str">
        <x:v>INSPIRE_Weighted_Est</x:v>
      </x:c>
      <x:c r="B80" t="str">
        <x:v>outputs/tables/vitaldb_weighted_hdr_odr.csv</x:v>
      </x:c>
      <x:c r="C80" t="n">
        <x:v>1</x:v>
      </x:c>
      <x:c r="D80" t="n">
        <x:v>12</x:v>
      </x:c>
      <x:c r="E80" t="str">
        <x:v>Aggregate/public-safe</x:v>
      </x:c>
      <x:c r="F80" t="str">
        <x:v>vitaldb weighted hdr odr</x:v>
      </x:c>
    </x:row>
    <x:row r="81">
      <x:c r="A81" t="str">
        <x:v>Wave_coverage_flow</x:v>
      </x:c>
      <x:c r="B81" t="str">
        <x:v>outputs/tables/waveform_coverage_flow.csv</x:v>
      </x:c>
      <x:c r="C81" t="n">
        <x:v>10</x:v>
      </x:c>
      <x:c r="D81" t="n">
        <x:v>7</x:v>
      </x:c>
      <x:c r="E81" t="str">
        <x:v>Aggregate/public-safe</x:v>
      </x:c>
      <x:c r="F81" t="str">
        <x:v>waveform coverage flow</x:v>
      </x:c>
    </x:row>
    <x:row r="82">
      <x:c r="A82" t="str">
        <x:v>Wave_Sens_hdr_odr</x:v>
      </x:c>
      <x:c r="B82" t="str">
        <x:v>outputs/tables/waveform_sensitivity_hdr_odr.csv</x:v>
      </x:c>
      <x:c r="C82" t="n">
        <x:v>10</x:v>
      </x:c>
      <x:c r="D82" t="n">
        <x:v>13</x:v>
      </x:c>
      <x:c r="E82" t="str">
        <x:v>Aggregate/public-safe</x:v>
      </x:c>
      <x:c r="F82" t="str">
        <x:v>waveform sensitivity hdr odr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3" hidden="0" customWidth="1"/>
    <x:col min="4" max="4" width="23" hidden="0" customWidth="1"/>
    <x:col min="5" max="5" width="26" hidden="0" customWidth="1"/>
    <x:col min="6" max="6" width="10" hidden="0" customWidth="1"/>
    <x:col min="7" max="7" width="26" hidden="0" customWidth="1"/>
    <x:col min="8" max="8" width="30" hidden="0" customWidth="1"/>
  </x:cols>
  <x:sheetData>
    <x:row r="1" ht="32" customHeight="1">
      <x:c r="A1" s="14" t="str">
        <x:v>Key numerical results</x:v>
      </x:c>
      <x:c r="B1" s="14"/>
      <x:c r="C1" s="14"/>
      <x:c r="D1" s="14"/>
      <x:c r="E1" s="14"/>
      <x:c r="F1" s="14"/>
      <x:c r="G1" s="14"/>
      <x:c r="H1" s="14"/>
    </x:row>
    <x:row r="2" ht="34" customHeight="1">
      <x:c r="A2" s="63" t="str">
        <x:v>Machine-readable values used in the revised manuscript and supplement.</x:v>
      </x:c>
      <x:c r="B2" s="68"/>
      <x:c r="C2" s="68"/>
      <x:c r="D2" s="68"/>
      <x:c r="E2" s="63"/>
      <x:c r="F2" s="66"/>
      <x:c r="G2" s="63"/>
      <x:c r="H2" s="63"/>
    </x:row>
    <x:row r="3">
      <x:c r="A3" s="8"/>
      <x:c r="B3" s="18"/>
      <x:c r="C3" s="18"/>
      <x:c r="D3" s="18"/>
      <x:c r="E3" s="8"/>
      <x:c r="F3" s="16"/>
      <x:c r="G3" s="8"/>
      <x:c r="H3" s="8"/>
    </x:row>
    <x:row r="4">
      <x:c r="A4" s="8" t="str">
        <x:v>Result</x:v>
      </x:c>
      <x:c r="B4" s="18" t="str">
        <x:v>Estimate</x:v>
      </x:c>
      <x:c r="C4" s="18" t="str">
        <x:v>CI low</x:v>
      </x:c>
      <x:c r="D4" s="18" t="str">
        <x:v>CI high</x:v>
      </x:c>
      <x:c r="E4" s="8" t="str">
        <x:v>Unit</x:v>
      </x:c>
      <x:c r="F4" s="16" t="str">
        <x:v>n cases</x:v>
      </x:c>
      <x:c r="G4" s="8" t="str">
        <x:v>Source sheet</x:v>
      </x:c>
      <x:c r="H4" s="8" t="str">
        <x:v>Selector</x:v>
      </x:c>
    </x:row>
    <x:row r="5">
      <x:c r="A5" s="8" t="str">
        <x:v>Primary fixed 5-min HDR65</x:v>
      </x:c>
      <x:c r="B5" s="18" t="n">
        <x:v>0.5974247419434733</x:v>
      </x:c>
      <x:c r="C5" s="18" t="n">
        <x:v>0.5814571937502134</x:v>
      </x:c>
      <x:c r="D5" s="18" t="n">
        <x:v>0.6126324766090073</x:v>
      </x:c>
      <x:c r="E5" s="8" t="str">
        <x:v>ratio</x:v>
      </x:c>
      <x:c r="F5" s="16" t="n">
        <x:v>2435</x:v>
      </x:c>
      <x:c r="G5" s="8" t="str">
        <x:v>Frequency_Primary</x:v>
      </x:c>
      <x:c r="H5" s="8" t="str">
        <x:v>threshold=65; interval=5</x:v>
      </x:c>
    </x:row>
    <x:row r="6">
      <x:c r="A6" s="8" t="str">
        <x:v>Primary fixed 5-min ODR65</x:v>
      </x:c>
      <x:c r="B6" s="18" t="n">
        <x:v>0.5729922163020157</x:v>
      </x:c>
      <x:c r="C6" s="18" t="n">
        <x:v>0.5578223060919201</x:v>
      </x:c>
      <x:c r="D6" s="18" t="n">
        <x:v>0.586776748290535</x:v>
      </x:c>
      <x:c r="E6" s="8" t="str">
        <x:v>ratio</x:v>
      </x:c>
      <x:c r="F6" s="16" t="n">
        <x:v>2435</x:v>
      </x:c>
      <x:c r="G6" s="8" t="str">
        <x:v>Frequency_Primary</x:v>
      </x:c>
      <x:c r="H6" s="8" t="str">
        <x:v>threshold=65; interval=5</x:v>
      </x:c>
    </x:row>
    <x:row r="7">
      <x:c r="A7" s="8" t="str">
        <x:v>Primary fixed 5-min net bias</x:v>
      </x:c>
      <x:c r="B7" s="18" t="n">
        <x:v>-0.02443252564145753</x:v>
      </x:c>
      <x:c r="C7" s="18" t="n">
        <x:v>-0.027166430841651636</x:v>
      </x:c>
      <x:c r="D7" s="18" t="n">
        <x:v>-0.021810710531806058</x:v>
      </x:c>
      <x:c r="E7" s="8" t="str">
        <x:v>ratio</x:v>
      </x:c>
      <x:c r="F7" s="16" t="n">
        <x:v>2435</x:v>
      </x:c>
      <x:c r="G7" s="8" t="str">
        <x:v>Frequency_Primary</x:v>
      </x:c>
      <x:c r="H7" s="8" t="str">
        <x:v>threshold=65; interval=5</x:v>
      </x:c>
    </x:row>
    <x:row r="8">
      <x:c r="A8" s="8" t="str">
        <x:v>Reference low / valid display normal</x:v>
      </x:c>
      <x:c r="B8" s="18" t="n">
        <x:v>1.6919342974668123</x:v>
      </x:c>
      <x:c r="C8" s="18" t="n">
        <x:v>1.6287432359169203</x:v>
      </x:c>
      <x:c r="D8" s="18" t="n">
        <x:v>1.756369495230963</x:v>
      </x:c>
      <x:c r="E8" s="8" t="str">
        <x:v>min per anaesthesia-hour</x:v>
      </x:c>
      <x:c r="F8" s="16" t="n">
        <x:v>2435</x:v>
      </x:c>
      <x:c r="G8" s="8" t="str">
        <x:v>Frequency_Primary</x:v>
      </x:c>
      <x:c r="H8" s="8" t="str">
        <x:v>threshold=65; interval=5</x:v>
      </x:c>
    </x:row>
    <x:row r="9">
      <x:c r="A9" s="8" t="str">
        <x:v>Display low / valid reference normal</x:v>
      </x:c>
      <x:c r="B9" s="18" t="n">
        <x:v>1.8402399392672426</x:v>
      </x:c>
      <x:c r="C9" s="18" t="n">
        <x:v>1.7744846191514387</x:v>
      </x:c>
      <x:c r="D9" s="18" t="n">
        <x:v>1.9068707805096576</x:v>
      </x:c>
      <x:c r="E9" s="8" t="str">
        <x:v>min per anaesthesia-hour</x:v>
      </x:c>
      <x:c r="F9" s="16" t="n">
        <x:v>2435</x:v>
      </x:c>
      <x:c r="G9" s="8" t="str">
        <x:v>Frequency_Primary</x:v>
      </x:c>
      <x:c r="H9" s="8" t="str">
        <x:v>threshold=65; interval=5</x:v>
      </x:c>
    </x:row>
    <x:row r="10">
      <x:c r="A10" s="8" t="str">
        <x:v>Reference low / display unavailable</x:v>
      </x:c>
      <x:c r="B10" s="18" t="n">
        <x:v>0.17621302261973015</x:v>
      </x:c>
      <x:c r="C10" s="18" t="n">
        <x:v>0.16918818183120582</x:v>
      </x:c>
      <x:c r="D10" s="18" t="n">
        <x:v>0.18345732112985844</x:v>
      </x:c>
      <x:c r="E10" s="8" t="str">
        <x:v>min per anaesthesia-hour</x:v>
      </x:c>
      <x:c r="F10" s="16" t="n">
        <x:v>2435</x:v>
      </x:c>
      <x:c r="G10" s="8" t="str">
        <x:v>Frequency_Primary</x:v>
      </x:c>
      <x:c r="H10" s="8" t="str">
        <x:v>threshold=65; interval=5</x:v>
      </x:c>
    </x:row>
    <x:row r="11">
      <x:c r="A11" s="8" t="str">
        <x:v>Actual NIBP timing plus cuff HDR65</x:v>
      </x:c>
      <x:c r="B11" s="18" t="n">
        <x:v>0.9259505789183501</x:v>
      </x:c>
      <x:c r="C11" s="18" t="n">
        <x:v>0.9030565312321615</x:v>
      </x:c>
      <x:c r="D11" s="18" t="n">
        <x:v>0.9455808639219617</x:v>
      </x:c>
      <x:c r="E11" s="8" t="str">
        <x:v>ratio</x:v>
      </x:c>
      <x:c r="F11" s="16" t="n">
        <x:v>365</x:v>
      </x:c>
      <x:c r="G11" s="8" t="str">
        <x:v>NIBP_Mechanisms</x:v>
      </x:c>
      <x:c r="H11" s="8" t="str">
        <x:v>threshold=65; 10-min horizon</x:v>
      </x:c>
    </x:row>
    <x:row r="12">
      <x:c r="A12" s="8" t="str">
        <x:v>Actual NIBP timing plus cuff ODR65</x:v>
      </x:c>
      <x:c r="B12" s="18" t="n">
        <x:v>0.5031687634705028</x:v>
      </x:c>
      <x:c r="C12" s="18" t="n">
        <x:v>0.38754057594761016</x:v>
      </x:c>
      <x:c r="D12" s="18" t="n">
        <x:v>0.6489274688484572</x:v>
      </x:c>
      <x:c r="E12" s="8" t="str">
        <x:v>ratio</x:v>
      </x:c>
      <x:c r="F12" s="16" t="n">
        <x:v>365</x:v>
      </x:c>
      <x:c r="G12" s="8" t="str">
        <x:v>NIBP_Mechanisms</x:v>
      </x:c>
      <x:c r="H12" s="8" t="str">
        <x:v>threshold=65; 10-min horizon</x:v>
      </x:c>
    </x:row>
    <x:row r="13">
      <x:c r="A13" s="8" t="str">
        <x:v>Display unavailable fraction, all grid</x:v>
      </x:c>
      <x:c r="B13" s="18" t="n">
        <x:v>0.5926977370720452</x:v>
      </x:c>
      <x:c r="C13" s="18"/>
      <x:c r="D13" s="18"/>
      <x:c r="E13" s="8" t="str">
        <x:v>fraction</x:v>
      </x:c>
      <x:c r="F13" s="16" t="n">
        <x:v>365</x:v>
      </x:c>
      <x:c r="G13" s="8" t="str">
        <x:v>NIBP_Horizon_Sensitivity</x:v>
      </x:c>
      <x:c r="H13" s="8" t="str">
        <x:v>primary 10-min horizon</x:v>
      </x:c>
    </x:row>
    <x:row r="14">
      <x:c r="A14" s="8" t="str">
        <x:v>Repeated-measures mean difference</x:v>
      </x:c>
      <x:c r="B14" s="18" t="n">
        <x:v>1.1493410954180507</x:v>
      </x:c>
      <x:c r="C14" s="18" t="n">
        <x:v>-0.04875532097365178</x:v>
      </x:c>
      <x:c r="D14" s="18" t="n">
        <x:v>2.3954919175408973</x:v>
      </x:c>
      <x:c r="E14" s="8" t="str">
        <x:v>mm Hg</x:v>
      </x:c>
      <x:c r="F14" s="16" t="n">
        <x:v>347</x:v>
      </x:c>
      <x:c r="G14" s="8" t="str">
        <x:v>NIBP_Repeated_BA</x:v>
      </x:c>
      <x:c r="H14" s="8" t="str">
        <x:v>10,875 paired events</x:v>
      </x:c>
    </x:row>
    <x:row r="15">
      <x:c r="A15" s="8" t="str">
        <x:v>Repeated-measures lower LoA</x:v>
      </x:c>
      <x:c r="B15" s="18" t="n">
        <x:v>-32.87236840902123</x:v>
      </x:c>
      <x:c r="C15" s="18" t="n">
        <x:v>-34.759267149752546</x:v>
      </x:c>
      <x:c r="D15" s="18" t="n">
        <x:v>-30.993597600505595</x:v>
      </x:c>
      <x:c r="E15" s="8" t="str">
        <x:v>mm Hg</x:v>
      </x:c>
      <x:c r="F15" s="16" t="n">
        <x:v>347</x:v>
      </x:c>
      <x:c r="G15" s="8" t="str">
        <x:v>NIBP_Repeated_BA</x:v>
      </x:c>
      <x:c r="H15" s="8" t="str">
        <x:v>variance components</x:v>
      </x:c>
    </x:row>
    <x:row r="16">
      <x:c r="A16" s="8" t="str">
        <x:v>Repeated-measures upper LoA</x:v>
      </x:c>
      <x:c r="B16" s="18" t="n">
        <x:v>35.17105059985733</x:v>
      </x:c>
      <x:c r="C16" s="18" t="n">
        <x:v>32.791499251118694</x:v>
      </x:c>
      <x:c r="D16" s="18" t="n">
        <x:v>37.80522639107933</x:v>
      </x:c>
      <x:c r="E16" s="8" t="str">
        <x:v>mm Hg</x:v>
      </x:c>
      <x:c r="F16" s="16" t="n">
        <x:v>347</x:v>
      </x:c>
      <x:c r="G16" s="8" t="str">
        <x:v>NIBP_Repeated_BA</x:v>
      </x:c>
      <x:c r="H16" s="8" t="str">
        <x:v>variance components</x:v>
      </x:c>
    </x:row>
    <x:row r="17">
      <x:c r="A17" s="8" t="str">
        <x:v>Conditional difference, arterial MAP &lt;55</x:v>
      </x:c>
      <x:c r="B17" s="18" t="n">
        <x:v>29.59722222222222</x:v>
      </x:c>
      <x:c r="C17" s="18" t="n">
        <x:v>23.289728033042906</x:v>
      </x:c>
      <x:c r="D17" s="18" t="n">
        <x:v>35.85174224705475</x:v>
      </x:c>
      <x:c r="E17" s="8" t="str">
        <x:v>mm Hg</x:v>
      </x:c>
      <x:c r="F17" s="16" t="n">
        <x:v>83</x:v>
      </x:c>
      <x:c r="G17" s="8" t="str">
        <x:v>NIBP_Low_MAP_Coupling</x:v>
      </x:c>
      <x:c r="H17" s="8" t="str">
        <x:v>arterial-conditioned</x:v>
      </x:c>
    </x:row>
    <x:row r="18">
      <x:c r="A18" s="8" t="str">
        <x:v>Conditional difference, paired mean &lt;55</x:v>
      </x:c>
      <x:c r="B18" s="18" t="n">
        <x:v>5.313492063492063</x:v>
      </x:c>
      <x:c r="C18" s="18" t="n">
        <x:v>-2.9069808467741933</x:v>
      </x:c>
      <x:c r="D18" s="18" t="n">
        <x:v>14.44033474576271</x:v>
      </x:c>
      <x:c r="E18" s="8" t="str">
        <x:v>mm Hg</x:v>
      </x:c>
      <x:c r="F18" s="16" t="n">
        <x:v>39</x:v>
      </x:c>
      <x:c r="G18" s="8" t="str">
        <x:v>NIBP_PairedMean_Strata</x:v>
      </x:c>
      <x:c r="H18" s="8" t="str">
        <x:v>paired-mean-conditioned</x:v>
      </x:c>
    </x:row>
    <x:row r="19">
      <x:c r="A19" s="8" t="str">
        <x:v>Paired-event sensitivity, MAP &lt;65</x:v>
      </x:c>
      <x:c r="B19" s="18" t="n">
        <x:v>0.30060120240480964</x:v>
      </x:c>
      <x:c r="C19" s="18" t="n">
        <x:v>0.241901741125658</x:v>
      </x:c>
      <x:c r="D19" s="18" t="n">
        <x:v>0.354884304851304</x:v>
      </x:c>
      <x:c r="E19" s="8" t="str">
        <x:v>proportion</x:v>
      </x:c>
      <x:c r="F19" s="16" t="n">
        <x:v>347</x:v>
      </x:c>
      <x:c r="G19" s="8" t="str">
        <x:v>NIBP_Classification</x:v>
      </x:c>
      <x:c r="H19" s="8" t="str">
        <x:v>case-cluster bootstrap</x:v>
      </x:c>
    </x:row>
    <x:row r="20">
      <x:c r="A20" t="str">
        <x:v>Paired-event specificity, MAP &lt;65</x:v>
      </x:c>
      <x:c r="B20" s="70" t="n">
        <x:v>0.8976409841044851</x:v>
      </x:c>
      <x:c r="C20" s="70" t="n">
        <x:v>0.8766900370114044</x:v>
      </x:c>
      <x:c r="D20" s="70" t="n">
        <x:v>0.9189001696793594</x:v>
      </x:c>
      <x:c r="E20" t="str">
        <x:v>proportion</x:v>
      </x:c>
      <x:c r="F20" t="n">
        <x:v>347</x:v>
      </x:c>
      <x:c r="G20" t="str">
        <x:v>NIBP_Classification</x:v>
      </x:c>
      <x:c r="H20" t="str">
        <x:v>case-cluster bootstrap</x:v>
      </x:c>
    </x:row>
    <x:row r="21">
      <x:c r="A21" t="str">
        <x:v>INSPIRE-weighted HDR65</x:v>
      </x:c>
      <x:c r="B21" s="70" t="n">
        <x:v>0.6153703291304364</x:v>
      </x:c>
      <x:c r="C21" s="70"/>
      <x:c r="D21" s="70"/>
      <x:c r="E21" t="str">
        <x:v>ratio</x:v>
      </x:c>
      <x:c r="F21" t="n">
        <x:v>2435</x:v>
      </x:c>
      <x:c r="G21" t="str">
        <x:v>INSPIRE_Weighted_Est</x:v>
      </x:c>
      <x:c r="H21" t="str">
        <x:v>transportability sensitivity</x:v>
      </x:c>
    </x:row>
    <x:row r="22">
      <x:c r="A22" t="str">
        <x:v>INSPIRE-weighted ODR65</x:v>
      </x:c>
      <x:c r="B22" s="70" t="n">
        <x:v>0.5873180454028099</x:v>
      </x:c>
      <x:c r="C22" s="70"/>
      <x:c r="D22" s="70"/>
      <x:c r="E22" t="str">
        <x:v>ratio</x:v>
      </x:c>
      <x:c r="F22" t="n">
        <x:v>2435</x:v>
      </x:c>
      <x:c r="G22" t="str">
        <x:v>INSPIRE_Weighted_Est</x:v>
      </x:c>
      <x:c r="H22" t="str">
        <x:v>transportability sensitivity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3" hidden="0" customWidth="1"/>
    <x:col min="3" max="3" width="22" hidden="0" customWidth="1"/>
    <x:col min="4" max="4" width="11" hidden="0" customWidth="1"/>
    <x:col min="5" max="5" width="23" hidden="0" customWidth="1"/>
    <x:col min="6" max="6" width="10" hidden="0" customWidth="1"/>
    <x:col min="7" max="7" width="34" hidden="0" customWidth="1"/>
  </x:cols>
  <x:sheetData>
    <x:row r="1" ht="32" customHeight="1">
      <x:c r="A1" s="14" t="str">
        <x:v>Numerical consistency checks</x:v>
      </x:c>
      <x:c r="B1" s="14"/>
      <x:c r="C1" s="14"/>
      <x:c r="D1" s="14"/>
      <x:c r="E1" s="14"/>
      <x:c r="F1" s="14"/>
      <x:c r="G1" s="14"/>
    </x:row>
    <x:row r="2" ht="34" customHeight="1">
      <x:c r="A2" s="63" t="str">
        <x:v>Expected manuscript values are compared with the frozen aggregate tables. Any FAIL blocks release.</x:v>
      </x:c>
      <x:c r="B2" s="68"/>
      <x:c r="C2" s="68"/>
      <x:c r="D2" s="68"/>
      <x:c r="E2" s="68"/>
      <x:c r="F2" s="63"/>
      <x:c r="G2" s="63"/>
    </x:row>
    <x:row r="3">
      <x:c r="A3" s="8"/>
      <x:c r="B3" s="18"/>
      <x:c r="C3" s="18"/>
      <x:c r="D3" s="18"/>
      <x:c r="E3" s="18"/>
      <x:c r="F3" s="8"/>
      <x:c r="G3" s="8"/>
    </x:row>
    <x:row r="4">
      <x:c r="A4" s="8" t="str">
        <x:v>Check</x:v>
      </x:c>
      <x:c r="B4" s="18" t="str">
        <x:v>Expected</x:v>
      </x:c>
      <x:c r="C4" s="18" t="str">
        <x:v>Observed</x:v>
      </x:c>
      <x:c r="D4" s="18" t="str">
        <x:v>Tolerance</x:v>
      </x:c>
      <x:c r="E4" s="18" t="str">
        <x:v>Absolute delta</x:v>
      </x:c>
      <x:c r="F4" s="8" t="str">
        <x:v>Status</x:v>
      </x:c>
      <x:c r="G4" s="8" t="str">
        <x:v>Evidence</x:v>
      </x:c>
    </x:row>
    <x:row r="5">
      <x:c r="A5" s="8" t="str">
        <x:v>VitalDB source cases</x:v>
      </x:c>
      <x:c r="B5" s="72" t="n">
        <x:v>6388</x:v>
      </x:c>
      <x:c r="C5" s="72" t="n">
        <x:v>6388</x:v>
      </x:c>
      <x:c r="D5" s="72" t="n">
        <x:v>0</x:v>
      </x:c>
      <x:c r="E5" s="72" t="n">
        <x:f>ABS(B5-C5)</x:f>
        <x:v>0</x:v>
      </x:c>
      <x:c r="F5" s="8" t="str">
        <x:f>IF(E5&lt;=D5,"PASS","FAIL")</x:f>
        <x:v>PASS</x:v>
      </x:c>
      <x:c r="G5" s="8" t="str">
        <x:v>cohort_flow.csv</x:v>
      </x:c>
    </x:row>
    <x:row r="6">
      <x:c r="A6" s="8" t="str">
        <x:v>Primary arterial cohort</x:v>
      </x:c>
      <x:c r="B6" s="72" t="n">
        <x:v>2435</x:v>
      </x:c>
      <x:c r="C6" s="72" t="n">
        <x:v>2435</x:v>
      </x:c>
      <x:c r="D6" s="72" t="n">
        <x:v>0</x:v>
      </x:c>
      <x:c r="E6" s="72" t="n">
        <x:f>ABS(B6-C6)</x:f>
        <x:v>0</x:v>
      </x:c>
      <x:c r="F6" s="8" t="str">
        <x:f>IF(E6&lt;=D6,"PASS","FAIL")</x:f>
        <x:v>PASS</x:v>
      </x:c>
      <x:c r="G6" s="8" t="str">
        <x:v>frequency_decomposition_bootstrap.csv</x:v>
      </x:c>
    </x:row>
    <x:row r="7">
      <x:c r="A7" s="8" t="str">
        <x:v>Primary HDR65</x:v>
      </x:c>
      <x:c r="B7" s="72" t="n">
        <x:v>0.5974247419434733</x:v>
      </x:c>
      <x:c r="C7" s="72" t="n">
        <x:v>0.5974247419434733</x:v>
      </x:c>
      <x:c r="D7" s="72" t="n">
        <x:v>1e-12</x:v>
      </x:c>
      <x:c r="E7" s="72" t="n">
        <x:f>ABS(B7-C7)</x:f>
        <x:v>0</x:v>
      </x:c>
      <x:c r="F7" s="8" t="str">
        <x:f>IF(E7&lt;=D7,"PASS","FAIL")</x:f>
        <x:v>PASS</x:v>
      </x:c>
      <x:c r="G7" s="8" t="str">
        <x:v>primary result</x:v>
      </x:c>
    </x:row>
    <x:row r="8">
      <x:c r="A8" s="8" t="str">
        <x:v>Primary ODR65 corrected</x:v>
      </x:c>
      <x:c r="B8" s="72" t="n">
        <x:v>0.5729922163020157</x:v>
      </x:c>
      <x:c r="C8" s="72" t="n">
        <x:v>0.5729922163020157</x:v>
      </x:c>
      <x:c r="D8" s="72" t="n">
        <x:v>1e-12</x:v>
      </x:c>
      <x:c r="E8" s="72" t="n">
        <x:f>ABS(B8-C8)</x:f>
        <x:v>0</x:v>
      </x:c>
      <x:c r="F8" s="8" t="str">
        <x:f>IF(E8&lt;=D8,"PASS","FAIL")</x:f>
        <x:v>PASS</x:v>
      </x:c>
      <x:c r="G8" s="8" t="str">
        <x:v>primary result</x:v>
      </x:c>
    </x:row>
    <x:row r="9">
      <x:c r="A9" s="8" t="str">
        <x:v>Primary net equals ODR-HDR</x:v>
      </x:c>
      <x:c r="B9" s="72" t="n">
        <x:v>-0.024432525641457592</x:v>
      </x:c>
      <x:c r="C9" s="72" t="n">
        <x:v>-0.02443252564145753</x:v>
      </x:c>
      <x:c r="D9" s="72" t="n">
        <x:v>1e-12</x:v>
      </x:c>
      <x:c r="E9" s="72" t="n">
        <x:f>ABS(B9-C9)</x:f>
        <x:v>6.245004513516506e-17</x:v>
      </x:c>
      <x:c r="F9" s="8" t="str">
        <x:f>IF(E9&lt;=D9,"PASS","FAIL")</x:f>
        <x:v>PASS</x:v>
      </x:c>
      <x:c r="G9" s="8" t="str">
        <x:v>identity</x:v>
      </x:c>
    </x:row>
    <x:row r="10">
      <x:c r="A10" s="8" t="str">
        <x:v>NIBP predefined subset</x:v>
      </x:c>
      <x:c r="B10" s="72" t="n">
        <x:v>500</x:v>
      </x:c>
      <x:c r="C10" s="72" t="n">
        <x:v>500</x:v>
      </x:c>
      <x:c r="D10" s="72" t="n">
        <x:v>0</x:v>
      </x:c>
      <x:c r="E10" s="72" t="n">
        <x:f>ABS(B10-C10)</x:f>
        <x:v>0</x:v>
      </x:c>
      <x:c r="F10" s="8" t="str">
        <x:f>IF(E10&lt;=D10,"PASS","FAIL")</x:f>
        <x:v>PASS</x:v>
      </x:c>
      <x:c r="G10" s="8" t="str">
        <x:v>nibp_case_flow_detailed.csv</x:v>
      </x:c>
    </x:row>
    <x:row r="11">
      <x:c r="A11" s="8" t="str">
        <x:v>NIBP mechanism subset</x:v>
      </x:c>
      <x:c r="B11" s="72" t="n">
        <x:v>365</x:v>
      </x:c>
      <x:c r="C11" s="72" t="n">
        <x:v>365</x:v>
      </x:c>
      <x:c r="D11" s="72" t="n">
        <x:v>0</x:v>
      </x:c>
      <x:c r="E11" s="72" t="n">
        <x:f>ABS(B11-C11)</x:f>
        <x:v>0</x:v>
      </x:c>
      <x:c r="F11" s="8" t="str">
        <x:f>IF(E11&lt;=D11,"PASS","FAIL")</x:f>
        <x:v>PASS</x:v>
      </x:c>
      <x:c r="G11" s="8" t="str">
        <x:v>nibp_case_flow_detailed.csv</x:v>
      </x:c>
    </x:row>
    <x:row r="12">
      <x:c r="A12" s="8" t="str">
        <x:v>Paired plus timing-only cases</x:v>
      </x:c>
      <x:c r="B12" s="72" t="n">
        <x:v>365</x:v>
      </x:c>
      <x:c r="C12" s="72" t="n">
        <x:v>365</x:v>
      </x:c>
      <x:c r="D12" s="72" t="n">
        <x:v>0</x:v>
      </x:c>
      <x:c r="E12" s="72" t="n">
        <x:f>ABS(B12-C12)</x:f>
        <x:v>0</x:v>
      </x:c>
      <x:c r="F12" s="8" t="str">
        <x:f>IF(E12&lt;=D12,"PASS","FAIL")</x:f>
        <x:v>PASS</x:v>
      </x:c>
      <x:c r="G12" s="8" t="str">
        <x:v>flow closure</x:v>
      </x:c>
    </x:row>
    <x:row r="13">
      <x:c r="A13" s="8" t="str">
        <x:v>Eligible pairing events</x:v>
      </x:c>
      <x:c r="B13" s="72" t="n">
        <x:v>13687</x:v>
      </x:c>
      <x:c r="C13" s="72" t="n">
        <x:v>13687</x:v>
      </x:c>
      <x:c r="D13" s="72" t="n">
        <x:v>0</x:v>
      </x:c>
      <x:c r="E13" s="72" t="n">
        <x:f>ABS(B13-C13)</x:f>
        <x:v>0</x:v>
      </x:c>
      <x:c r="F13" s="8" t="str">
        <x:f>IF(E13&lt;=D13,"PASS","FAIL")</x:f>
        <x:v>PASS</x:v>
      </x:c>
      <x:c r="G13" s="8" t="str">
        <x:v>nibp_event_flow_detailed.csv</x:v>
      </x:c>
    </x:row>
    <x:row r="14">
      <x:c r="A14" s="8" t="str">
        <x:v>Successfully paired events</x:v>
      </x:c>
      <x:c r="B14" s="72" t="n">
        <x:v>10875</x:v>
      </x:c>
      <x:c r="C14" s="72" t="n">
        <x:v>10875</x:v>
      </x:c>
      <x:c r="D14" s="72" t="n">
        <x:v>0</x:v>
      </x:c>
      <x:c r="E14" s="72" t="n">
        <x:f>ABS(B14-C14)</x:f>
        <x:v>0</x:v>
      </x:c>
      <x:c r="F14" s="8" t="str">
        <x:f>IF(E14&lt;=D14,"PASS","FAIL")</x:f>
        <x:v>PASS</x:v>
      </x:c>
      <x:c r="G14" s="8" t="str">
        <x:v>nibp_event_flow_detailed.csv</x:v>
      </x:c>
    </x:row>
    <x:row r="15">
      <x:c r="A15" s="8" t="str">
        <x:v>Display unavailable, all grid</x:v>
      </x:c>
      <x:c r="B15" s="72" t="n">
        <x:v>0.5926977370720452</x:v>
      </x:c>
      <x:c r="C15" s="72" t="n">
        <x:v>0.5926977370720452</x:v>
      </x:c>
      <x:c r="D15" s="72" t="n">
        <x:v>1e-12</x:v>
      </x:c>
      <x:c r="E15" s="72" t="n">
        <x:f>ABS(B15-C15)</x:f>
        <x:v>0</x:v>
      </x:c>
      <x:c r="F15" s="8" t="str">
        <x:f>IF(E15&lt;=D15,"PASS","FAIL")</x:f>
        <x:v>PASS</x:v>
      </x:c>
      <x:c r="G15" s="8" t="str">
        <x:v>primary 10-min horizon</x:v>
      </x:c>
    </x:row>
    <x:row r="16">
      <x:c r="A16" s="8" t="str">
        <x:v>Mechanism HDR component closure</x:v>
      </x:c>
      <x:c r="B16" s="72" t="n">
        <x:v>0.9259505789183501</x:v>
      </x:c>
      <x:c r="C16" s="72" t="n">
        <x:v>0.9259505789183501</x:v>
      </x:c>
      <x:c r="D16" s="72" t="n">
        <x:v>1e-12</x:v>
      </x:c>
      <x:c r="E16" s="72" t="n">
        <x:f>ABS(B16-C16)</x:f>
        <x:v>0</x:v>
      </x:c>
      <x:c r="F16" s="8" t="str">
        <x:f>IF(E16&lt;=D16,"PASS","FAIL")</x:f>
        <x:v>PASS</x:v>
      </x:c>
      <x:c r="G16" s="8" t="str">
        <x:v>unavailable plus valid mismatch</x:v>
      </x:c>
    </x:row>
    <x:row r="17">
      <x:c r="A17" s="8" t="str">
        <x:v>Paired classification events</x:v>
      </x:c>
      <x:c r="B17" s="72" t="n">
        <x:v>10875</x:v>
      </x:c>
      <x:c r="C17" s="72" t="n">
        <x:v>10875</x:v>
      </x:c>
      <x:c r="D17" s="72" t="n">
        <x:v>0</x:v>
      </x:c>
      <x:c r="E17" s="72" t="n">
        <x:f>ABS(B17-C17)</x:f>
        <x:v>0</x:v>
      </x:c>
      <x:c r="F17" s="8" t="str">
        <x:f>IF(E17&lt;=D17,"PASS","FAIL")</x:f>
        <x:v>PASS</x:v>
      </x:c>
      <x:c r="G17" s="8" t="str">
        <x:v>nibp_paired_classification_clustered.csv</x:v>
      </x:c>
    </x:row>
    <x:row r="18">
      <x:c r="A18" t="str">
        <x:v>INSPIRE target population</x:v>
      </x:c>
      <x:c r="B18" s="73" t="n">
        <x:v>89576</x:v>
      </x:c>
      <x:c r="C18" s="73" t="n">
        <x:v>89576</x:v>
      </x:c>
      <x:c r="D18" s="73" t="n">
        <x:v>0</x:v>
      </x:c>
      <x:c r="E18" s="73" t="n">
        <x:f>ABS(B18-C18)</x:f>
        <x:v>0</x:v>
      </x:c>
      <x:c r="F18" t="str">
        <x:f>IF(E18&lt;=D18,"PASS","FAIL")</x:f>
        <x:v>PASS</x:v>
      </x:c>
      <x:c r="G18" t="str">
        <x:v>target_population_table.csv</x:v>
      </x:c>
    </x:row>
    <x:row r="19">
      <x:c r="A19" t="str">
        <x:v>No obsolete ODR 0.642</x:v>
      </x:c>
      <x:c r="B19" s="73" t="n">
        <x:v>1</x:v>
      </x:c>
      <x:c r="C19" s="73" t="n">
        <x:v>1</x:v>
      </x:c>
      <x:c r="D19" s="73" t="n">
        <x:v>0</x:v>
      </x:c>
      <x:c r="E19" s="73" t="n">
        <x:f>ABS(B19-C19)</x:f>
        <x:v>0</x:v>
      </x:c>
      <x:c r="F19" t="str">
        <x:f>IF(E19&lt;=D19,"PASS","FAIL")</x:f>
        <x:v>PASS</x:v>
      </x:c>
      <x:c r="G19" t="str">
        <x:v>obsolete-value fail-stop</x:v>
      </x:c>
    </x:row>
    <x:row r="20">
      <x:c r="A20" t="str">
        <x:v>No case/event source sheets included</x:v>
      </x:c>
      <x:c r="B20" s="73" t="n">
        <x:v>1</x:v>
      </x:c>
      <x:c r="C20" s="73" t="n">
        <x:v>1</x:v>
      </x:c>
      <x:c r="D20" s="73" t="n">
        <x:v>0</x:v>
      </x:c>
      <x:c r="E20" s="73" t="n">
        <x:f>ABS(B20-C20)</x:f>
        <x:v>0</x:v>
      </x:c>
      <x:c r="F20" t="str">
        <x:f>IF(E20&lt;=D20,"PASS","FAIL")</x:f>
        <x:v>PASS</x:v>
      </x:c>
      <x:c r="G20" t="str">
        <x:v>04_EXCLUSIONS</x:v>
      </x:c>
    </x:row>
  </x:sheetData>
  <x:mergeCells>
    <x:mergeCell ref="A1:G1"/>
    <x:mergeCell ref="A2:G2"/>
  </x:mergeCells>
  <x:conditionalFormatting sqref="F5:F20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7" hidden="0" customWidth="1"/>
  </x:cols>
  <x:sheetData>
    <x:row r="1" ht="32" customHeight="1">
      <x:c r="A1" s="14" t="str">
        <x:v>Excluded source tables</x:v>
      </x:c>
      <x:c r="B1" s="14"/>
      <x:c r="C1" s="14"/>
    </x:row>
    <x:row r="2" ht="34" customHeight="1">
      <x:c r="A2" s="63" t="str">
        <x:v>These files remain local but are excluded from the aggregate workbook because they are case-level, event-level, path-bearing, or internal build audits.</x:v>
      </x:c>
      <x:c r="B2" s="63"/>
      <x:c r="C2" s="63"/>
    </x:row>
    <x:row r="3">
      <x:c r="A3" s="8"/>
      <x:c r="B3" s="8"/>
      <x:c r="C3" s="8"/>
    </x:row>
    <x:row r="4">
      <x:c r="A4" s="8" t="str">
        <x:v>Source CSV</x:v>
      </x:c>
      <x:c r="B4" s="8" t="str">
        <x:v>Reason</x:v>
      </x:c>
      <x:c r="C4" s="8" t="str">
        <x:v>Workbook action</x:v>
      </x:c>
    </x:row>
    <x:row r="5">
      <x:c r="A5" s="8" t="str">
        <x:v>outputs/tables/case_duration_timestamp_audit.csv</x:v>
      </x:c>
      <x:c r="B5" s="8" t="str">
        <x:v>contains sampled case identifiers</x:v>
      </x:c>
      <x:c r="C5" s="8" t="str">
        <x:v>Excluded</x:v>
      </x:c>
    </x:row>
    <x:row r="6">
      <x:c r="A6" s="8" t="str">
        <x:v>outputs/tables/config_validation.csv</x:v>
      </x:c>
      <x:c r="B6" s="8" t="str">
        <x:v>internal local-configuration audit</x:v>
      </x:c>
      <x:c r="C6" s="8" t="str">
        <x:v>Excluded</x:v>
      </x:c>
    </x:row>
    <x:row r="7">
      <x:c r="A7" s="8" t="str">
        <x:v>outputs/tables/figure3_source.csv</x:v>
      </x:c>
      <x:c r="B7" s="8" t="str">
        <x:v>paired event-level figure source</x:v>
      </x:c>
      <x:c r="C7" s="8" t="str">
        <x:v>Excluded</x:v>
      </x:c>
    </x:row>
    <x:row r="8">
      <x:c r="A8" s="8" t="str">
        <x:v>outputs/tables/frequency_decomp_case_mean_preview.csv</x:v>
      </x:c>
      <x:c r="B8" s="8" t="str">
        <x:v>case-level preview</x:v>
      </x:c>
      <x:c r="C8" s="8" t="str">
        <x:v>Excluded</x:v>
      </x:c>
    </x:row>
    <x:row r="9">
      <x:c r="A9" s="8" t="str">
        <x:v>outputs/tables/frequency_decomposition.csv</x:v>
      </x:c>
      <x:c r="B9" s="8" t="str">
        <x:v>case-level decomposition</x:v>
      </x:c>
      <x:c r="C9" s="8" t="str">
        <x:v>Excluded</x:v>
      </x:c>
    </x:row>
    <x:row r="10">
      <x:c r="A10" s="8" t="str">
        <x:v>outputs/tables/mover_gate_input_inventory.csv</x:v>
      </x:c>
      <x:c r="B10" s="8" t="str">
        <x:v>local source inventory</x:v>
      </x:c>
      <x:c r="C10" s="8" t="str">
        <x:v>Excluded</x:v>
      </x:c>
    </x:row>
    <x:row r="11">
      <x:c r="A11" s="8" t="str">
        <x:v>outputs/tables/nibp_art_pairs.csv</x:v>
      </x:c>
      <x:c r="B11" s="8" t="str">
        <x:v>paired event-level records</x:v>
      </x:c>
      <x:c r="C11" s="8" t="str">
        <x:v>Excluded</x:v>
      </x:c>
    </x:row>
    <x:row r="12">
      <x:c r="A12" s="8" t="str">
        <x:v>outputs/tables/nibp_display_events.csv</x:v>
      </x:c>
      <x:c r="B12" s="8" t="str">
        <x:v>reconstructed event-level records</x:v>
      </x:c>
      <x:c r="C12" s="8" t="str">
        <x:v>Excluded</x:v>
      </x:c>
    </x:row>
    <x:row r="13">
      <x:c r="A13" s="8" t="str">
        <x:v>outputs/tables/nibp_mechanism_decomposition_case.csv</x:v>
      </x:c>
      <x:c r="B13" s="8" t="str">
        <x:v>case-level mechanism output</x:v>
      </x:c>
      <x:c r="C13" s="8" t="str">
        <x:v>Excluded</x:v>
      </x:c>
    </x:row>
    <x:row r="14">
      <x:c r="A14" s="8" t="str">
        <x:v>outputs/tables/revision_v6_evidence_index.csv</x:v>
      </x:c>
      <x:c r="B14" s="8" t="str">
        <x:v>internal build evidence index</x:v>
      </x:c>
      <x:c r="C14" s="8" t="str">
        <x:v>Excluded</x:v>
      </x:c>
    </x:row>
    <x:row r="15">
      <x:c r="A15" s="8" t="str">
        <x:v>outputs/tables/selective_continuous_oof_predictions.csv</x:v>
      </x:c>
      <x:c r="B15" s="8" t="str">
        <x:v>case-level model predictions</x:v>
      </x:c>
      <x:c r="C15" s="8" t="str">
        <x:v>Excluded</x:v>
      </x:c>
    </x:row>
    <x:row r="16">
      <x:c r="A16" s="8" t="str">
        <x:v>outputs/tables/strategy_decomposition_case.csv</x:v>
      </x:c>
      <x:c r="B16" s="8" t="str">
        <x:v>case-level strategy output</x:v>
      </x:c>
      <x:c r="C16" s="8" t="str">
        <x:v>Excluded</x:v>
      </x:c>
    </x:row>
    <x:row r="17">
      <x:c r="A17" s="8" t="str">
        <x:v>outputs/tables/supplement_crossref_audit.csv</x:v>
      </x:c>
      <x:c r="B17" s="8" t="str">
        <x:v>internal document audit</x:v>
      </x:c>
      <x:c r="C17" s="8" t="str">
        <x:v>Excluded</x:v>
      </x:c>
    </x:row>
    <x:row r="18">
      <x:c r="A18" t="str">
        <x:v>outputs/tables/time_window_sensitivity_qc.csv</x:v>
      </x:c>
      <x:c r="B18" t="str">
        <x:v>identifier-bearing case or event table</x:v>
      </x:c>
      <x:c r="C18" t="str">
        <x:v>Excluded</x:v>
      </x:c>
    </x:row>
    <x:row r="19">
      <x:c r="A19" t="str">
        <x:v>outputs/tables/vitaldb_manifest_preview.csv</x:v>
      </x:c>
      <x:c r="B19" t="str">
        <x:v>source-manifest case preview</x:v>
      </x:c>
      <x:c r="C19" t="str">
        <x:v>Excluded</x:v>
      </x:c>
    </x:row>
    <x:row r="20">
      <x:c r="A20" t="str">
        <x:v>outputs/tables/waveform_qc.csv</x:v>
      </x:c>
      <x:c r="B20" t="str">
        <x:v>case-level waveform quality table</x:v>
      </x:c>
      <x:c r="C20" t="str">
        <x:v>Excluded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4" hidden="0" customWidth="1"/>
    <x:col min="3" max="3" width="34" hidden="0" customWidth="1"/>
    <x:col min="4" max="4" width="25" hidden="0" customWidth="1"/>
  </x:cols>
  <x:sheetData>
    <x:row r="1" ht="32" customHeight="1">
      <x:c r="A1" s="14" t="str">
        <x:v>eligibility_duration</x:v>
      </x:c>
      <x:c r="B1" s="14" t="str">
        <x:v>primary_time_window</x:v>
      </x:c>
      <x:c r="C1" s="14" t="str">
        <x:v>rate_denominator</x:v>
      </x:c>
      <x:c r="D1" s="14" t="str">
        <x:v>sensitivity_time_window</x:v>
      </x:c>
    </x:row>
    <x:row r="2">
      <x:c r="A2" s="8" t="str">
        <x:v>(aneend - anestart) / 60</x:v>
      </x:c>
      <x:c r="B2" s="8" t="str">
        <x:v>recorded portion of anaesthetic interval: max(0, anestart) to aneend</x:v>
      </x:c>
      <x:c r="C2" s="8" t="str">
        <x:v>number of 10-s analytic-grid bins divided by 3600 s</x:v>
      </x:c>
      <x:c r="D2" s="8" t="str">
        <x:v>opstart to opend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" hidden="0" customWidth="1"/>
    <x:col min="3" max="3" width="10" hidden="0" customWidth="1"/>
  </x:cols>
  <x:sheetData>
    <x:row r="1" ht="32" customHeight="1">
      <x:c r="A1" s="14" t="str">
        <x:v>step</x:v>
      </x:c>
      <x:c r="B1" s="14" t="str">
        <x:v>remaining</x:v>
      </x:c>
      <x:c r="C1" s="14" t="str">
        <x:v>excluded</x:v>
      </x:c>
    </x:row>
    <x:row r="2">
      <x:c r="A2" s="8" t="str">
        <x:v>source_cases</x:v>
      </x:c>
      <x:c r="B2" s="16" t="n">
        <x:v>6388</x:v>
      </x:c>
      <x:c r="C2" s="16" t="n">
        <x:v>0</x:v>
      </x:c>
    </x:row>
    <x:row r="3">
      <x:c r="A3" s="8" t="str">
        <x:v>adult</x:v>
      </x:c>
      <x:c r="B3" s="16" t="n">
        <x:v>6331</x:v>
      </x:c>
      <x:c r="C3" s="16" t="n">
        <x:v>57</x:v>
      </x:c>
    </x:row>
    <x:row r="4">
      <x:c r="A4" s="8" t="str">
        <x:v>general_anaesthesia</x:v>
      </x:c>
      <x:c r="B4" s="16" t="n">
        <x:v>5989</x:v>
      </x:c>
      <x:c r="C4" s="16" t="n">
        <x:v>342</x:v>
      </x:c>
    </x:row>
    <x:row r="5">
      <x:c r="A5" s="8" t="str">
        <x:v>eligible_surgery</x:v>
      </x:c>
      <x:c r="B5" s="16" t="n">
        <x:v>5559</x:v>
      </x:c>
      <x:c r="C5" s="16" t="n">
        <x:v>430</x:v>
      </x:c>
    </x:row>
    <x:row r="6">
      <x:c r="A6" s="8" t="str">
        <x:v>duration_ge_60min</x:v>
      </x:c>
      <x:c r="B6" s="16" t="n">
        <x:v>5449</x:v>
      </x:c>
      <x:c r="C6" s="16" t="n">
        <x:v>110</x:v>
      </x:c>
    </x:row>
    <x:row r="7">
      <x:c r="A7" s="8" t="str">
        <x:v>has_art_map</x:v>
      </x:c>
      <x:c r="B7" s="16" t="n">
        <x:v>3315</x:v>
      </x:c>
      <x:c r="C7" s="16" t="n">
        <x:v>2134</x:v>
      </x:c>
    </x:row>
    <x:row r="8">
      <x:c r="A8" s="8" t="str">
        <x:v>art_coverage_ge_80pct</x:v>
      </x:c>
      <x:c r="B8" s="16" t="n">
        <x:v>2435</x:v>
      </x:c>
      <x:c r="C8" s="16" t="n">
        <x:v>880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</x:cols>
  <x:sheetData>
    <x:row r="1" ht="32" customHeight="1">
      <x:c r="A1" s="14" t="str">
        <x:v>membership</x:v>
      </x:c>
      <x:c r="B1" s="14" t="str">
        <x:v>n_cases</x:v>
      </x:c>
    </x:row>
    <x:row r="2">
      <x:c r="A2" s="8" t="str">
        <x:v>nibp_candidate_pool</x:v>
      </x:c>
      <x:c r="B2" s="16" t="n">
        <x:v>2788</x:v>
      </x:c>
    </x:row>
    <x:row r="3">
      <x:c r="A3" s="8" t="str">
        <x:v>primary_arterial_series_cohort</x:v>
      </x:c>
      <x:c r="B3" s="16" t="n">
        <x:v>2435</x:v>
      </x:c>
    </x:row>
    <x:row r="4">
      <x:c r="A4" s="8" t="str">
        <x:v>candidate_and_primary_intersection</x:v>
      </x:c>
      <x:c r="B4" s="16" t="n">
        <x:v>1995</x:v>
      </x:c>
    </x:row>
    <x:row r="5">
      <x:c r="A5" s="8" t="str">
        <x:v>candidate_only_not_primary</x:v>
      </x:c>
      <x:c r="B5" s="16" t="n">
        <x:v>793</x:v>
      </x:c>
    </x:row>
    <x:row r="6">
      <x:c r="A6" s="8" t="str">
        <x:v>primary_only_not_candidate</x:v>
      </x:c>
      <x:c r="B6" s="16" t="n">
        <x:v>440</x:v>
      </x:c>
    </x:row>
    <x:row r="7">
      <x:c r="A7" s="8" t="str">
        <x:v>predefined_500_subset</x:v>
      </x:c>
      <x:c r="B7" s="16" t="n">
        <x:v>500</x:v>
      </x:c>
    </x:row>
    <x:row r="8">
      <x:c r="A8" s="8" t="str">
        <x:v>predefined_500_and_primary_intersection</x:v>
      </x:c>
      <x:c r="B8" s="16" t="n">
        <x:v>365</x:v>
      </x:c>
    </x:row>
    <x:row r="9">
      <x:c r="A9" s="8" t="str">
        <x:v>mechanism_subset</x:v>
      </x:c>
      <x:c r="B9" s="16" t="n">
        <x:v>365</x:v>
      </x:c>
    </x:row>
    <x:row r="10">
      <x:c r="A10" s="8" t="str">
        <x:v>paired_agreement_cases</x:v>
      </x:c>
      <x:c r="B10" s="16" t="n">
        <x:v>347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4" hidden="0" customWidth="1"/>
    <x:col min="4" max="4" width="20" hidden="0" customWidth="1"/>
    <x:col min="5" max="5" width="19" hidden="0" customWidth="1"/>
    <x:col min="6" max="6" width="21" hidden="0" customWidth="1"/>
    <x:col min="7" max="7" width="25" hidden="0" customWidth="1"/>
    <x:col min="8" max="8" width="20" hidden="0" customWidth="1"/>
    <x:col min="9" max="9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duration_bin</x:v>
      </x:c>
      <x:c r="D1" s="14" t="str">
        <x:v>reference_episodes</x:v>
      </x:c>
      <x:c r="E1" s="14" t="str">
        <x:v>detected_episodes</x:v>
      </x:c>
      <x:c r="F1" s="14" t="str">
        <x:v>median_delay_min</x:v>
      </x:c>
      <x:c r="G1" s="14" t="str">
        <x:v>hidden_auc_contribution</x:v>
      </x:c>
      <x:c r="H1" s="14" t="str">
        <x:v>episode_true_auc</x:v>
      </x:c>
      <x:c r="I1" s="14" t="str">
        <x:v>episode_sensitivity</x:v>
      </x:c>
    </x:row>
    <x:row r="2">
      <x:c r="A2" s="16" t="n">
        <x:v>55</x:v>
      </x:c>
      <x:c r="B2" s="18" t="n">
        <x:v>1</x:v>
      </x:c>
      <x:c r="C2" s="8" t="str">
        <x:v>1-3min</x:v>
      </x:c>
      <x:c r="D2" s="16" t="n">
        <x:v>1113</x:v>
      </x:c>
      <x:c r="E2" s="16" t="n">
        <x:v>1113</x:v>
      </x:c>
      <x:c r="F2" s="18" t="n">
        <x:v>0.3333333333333333</x:v>
      </x:c>
      <x:c r="G2" s="18" t="n">
        <x:v>0</x:v>
      </x:c>
      <x:c r="H2" s="18" t="n">
        <x:v>14828.833333333334</x:v>
      </x:c>
      <x:c r="I2" s="18" t="n">
        <x:v>1</x:v>
      </x:c>
    </x:row>
    <x:row r="3">
      <x:c r="A3" s="16" t="n">
        <x:v>55</x:v>
      </x:c>
      <x:c r="B3" s="18" t="n">
        <x:v>1</x:v>
      </x:c>
      <x:c r="C3" s="8" t="str">
        <x:v>3-5min</x:v>
      </x:c>
      <x:c r="D3" s="16" t="n">
        <x:v>185</x:v>
      </x:c>
      <x:c r="E3" s="16" t="n">
        <x:v>185</x:v>
      </x:c>
      <x:c r="F3" s="18" t="n">
        <x:v>0.3333333333333333</x:v>
      </x:c>
      <x:c r="G3" s="18" t="n">
        <x:v>0</x:v>
      </x:c>
      <x:c r="H3" s="18" t="n">
        <x:v>4922.25</x:v>
      </x:c>
      <x:c r="I3" s="18" t="n">
        <x:v>1</x:v>
      </x:c>
    </x:row>
    <x:row r="4">
      <x:c r="A4" s="16" t="n">
        <x:v>55</x:v>
      </x:c>
      <x:c r="B4" s="18" t="n">
        <x:v>1</x:v>
      </x:c>
      <x:c r="C4" s="8" t="str">
        <x:v>30-60s</x:v>
      </x:c>
      <x:c r="D4" s="16" t="n">
        <x:v>1893</x:v>
      </x:c>
      <x:c r="E4" s="16" t="n">
        <x:v>1174</x:v>
      </x:c>
      <x:c r="F4" s="18" t="n">
        <x:v>0.16666666666666666</x:v>
      </x:c>
      <x:c r="G4" s="18" t="n">
        <x:v>5352.5</x:v>
      </x:c>
      <x:c r="H4" s="18" t="n">
        <x:v>14823.25</x:v>
      </x:c>
      <x:c r="I4" s="18" t="n">
        <x:v>0.6201796090861067</x:v>
      </x:c>
    </x:row>
    <x:row r="5">
      <x:c r="A5" s="16" t="n">
        <x:v>55</x:v>
      </x:c>
      <x:c r="B5" s="18" t="n">
        <x:v>1</x:v>
      </x:c>
      <x:c r="C5" s="8" t="str">
        <x:v>&lt;30s</x:v>
      </x:c>
      <x:c r="D5" s="16" t="n">
        <x:v>7710</x:v>
      </x:c>
      <x:c r="E5" s="16" t="n">
        <x:v>2370</x:v>
      </x:c>
      <x:c r="F5" s="18" t="n">
        <x:v>0</x:v>
      </x:c>
      <x:c r="G5" s="18" t="n">
        <x:v>15697.833333333334</x:v>
      </x:c>
      <x:c r="H5" s="18" t="n">
        <x:v>24033.75</x:v>
      </x:c>
      <x:c r="I5" s="18" t="n">
        <x:v>0.30739299610894943</x:v>
      </x:c>
    </x:row>
    <x:row r="6">
      <x:c r="A6" s="16" t="n">
        <x:v>55</x:v>
      </x:c>
      <x:c r="B6" s="18" t="n">
        <x:v>1</x:v>
      </x:c>
      <x:c r="C6" s="8" t="str">
        <x:v>&gt;5min</x:v>
      </x:c>
      <x:c r="D6" s="16" t="n">
        <x:v>109</x:v>
      </x:c>
      <x:c r="E6" s="16" t="n">
        <x:v>109</x:v>
      </x:c>
      <x:c r="F6" s="18" t="n">
        <x:v>0.3333333333333333</x:v>
      </x:c>
      <x:c r="G6" s="18" t="n">
        <x:v>0</x:v>
      </x:c>
      <x:c r="H6" s="18" t="n">
        <x:v>7218.75</x:v>
      </x:c>
      <x:c r="I6" s="18" t="n">
        <x:v>1</x:v>
      </x:c>
    </x:row>
    <x:row r="7">
      <x:c r="A7" s="16" t="n">
        <x:v>55</x:v>
      </x:c>
      <x:c r="B7" s="18" t="n">
        <x:v>2.5</x:v>
      </x:c>
      <x:c r="C7" s="8" t="str">
        <x:v>1-3min</x:v>
      </x:c>
      <x:c r="D7" s="16" t="n">
        <x:v>1113</x:v>
      </x:c>
      <x:c r="E7" s="16" t="n">
        <x:v>742</x:v>
      </x:c>
      <x:c r="F7" s="18" t="n">
        <x:v>0.5</x:v>
      </x:c>
      <x:c r="G7" s="18" t="n">
        <x:v>4068</x:v>
      </x:c>
      <x:c r="H7" s="18" t="n">
        <x:v>14828.833333333334</x:v>
      </x:c>
      <x:c r="I7" s="18" t="n">
        <x:v>0.6666666666666666</x:v>
      </x:c>
    </x:row>
    <x:row r="8">
      <x:c r="A8" s="16" t="n">
        <x:v>55</x:v>
      </x:c>
      <x:c r="B8" s="18" t="n">
        <x:v>2.5</x:v>
      </x:c>
      <x:c r="C8" s="8" t="str">
        <x:v>3-5min</x:v>
      </x:c>
      <x:c r="D8" s="16" t="n">
        <x:v>185</x:v>
      </x:c>
      <x:c r="E8" s="16" t="n">
        <x:v>185</x:v>
      </x:c>
      <x:c r="F8" s="18" t="n">
        <x:v>0.8333333333333334</x:v>
      </x:c>
      <x:c r="G8" s="18" t="n">
        <x:v>0</x:v>
      </x:c>
      <x:c r="H8" s="18" t="n">
        <x:v>4922.25</x:v>
      </x:c>
      <x:c r="I8" s="18" t="n">
        <x:v>1</x:v>
      </x:c>
    </x:row>
    <x:row r="9">
      <x:c r="A9" s="16" t="n">
        <x:v>55</x:v>
      </x:c>
      <x:c r="B9" s="18" t="n">
        <x:v>2.5</x:v>
      </x:c>
      <x:c r="C9" s="8" t="str">
        <x:v>30-60s</x:v>
      </x:c>
      <x:c r="D9" s="16" t="n">
        <x:v>1893</x:v>
      </x:c>
      <x:c r="E9" s="16" t="n">
        <x:v>644</x:v>
      </x:c>
      <x:c r="F9" s="18" t="n">
        <x:v>0.16666666666666666</x:v>
      </x:c>
      <x:c r="G9" s="18" t="n">
        <x:v>9737.583333333334</x:v>
      </x:c>
      <x:c r="H9" s="18" t="n">
        <x:v>14823.25</x:v>
      </x:c>
      <x:c r="I9" s="18" t="n">
        <x:v>0.34020073956682517</x:v>
      </x:c>
    </x:row>
    <x:row r="10">
      <x:c r="A10" s="16" t="n">
        <x:v>55</x:v>
      </x:c>
      <x:c r="B10" s="18" t="n">
        <x:v>2.5</x:v>
      </x:c>
      <x:c r="C10" s="8" t="str">
        <x:v>&lt;30s</x:v>
      </x:c>
      <x:c r="D10" s="16" t="n">
        <x:v>7710</x:v>
      </x:c>
      <x:c r="E10" s="16" t="n">
        <x:v>1277</x:v>
      </x:c>
      <x:c r="F10" s="18" t="n">
        <x:v>0</x:v>
      </x:c>
      <x:c r="G10" s="18" t="n">
        <x:v>19870.333333333332</x:v>
      </x:c>
      <x:c r="H10" s="18" t="n">
        <x:v>24033.75</x:v>
      </x:c>
      <x:c r="I10" s="18" t="n">
        <x:v>0.1656290531776913</x:v>
      </x:c>
    </x:row>
    <x:row r="11">
      <x:c r="A11" s="16" t="n">
        <x:v>55</x:v>
      </x:c>
      <x:c r="B11" s="18" t="n">
        <x:v>2.5</x:v>
      </x:c>
      <x:c r="C11" s="8" t="str">
        <x:v>&gt;5min</x:v>
      </x:c>
      <x:c r="D11" s="16" t="n">
        <x:v>109</x:v>
      </x:c>
      <x:c r="E11" s="16" t="n">
        <x:v>109</x:v>
      </x:c>
      <x:c r="F11" s="18" t="n">
        <x:v>1</x:v>
      </x:c>
      <x:c r="G11" s="18" t="n">
        <x:v>0</x:v>
      </x:c>
      <x:c r="H11" s="18" t="n">
        <x:v>7218.75</x:v>
      </x:c>
      <x:c r="I11" s="18" t="n">
        <x:v>1</x:v>
      </x:c>
    </x:row>
    <x:row r="12">
      <x:c r="A12" s="16" t="n">
        <x:v>55</x:v>
      </x:c>
      <x:c r="B12" s="18" t="n">
        <x:v>3</x:v>
      </x:c>
      <x:c r="C12" s="8" t="str">
        <x:v>1-3min</x:v>
      </x:c>
      <x:c r="D12" s="16" t="n">
        <x:v>1113</x:v>
      </x:c>
      <x:c r="E12" s="16" t="n">
        <x:v>674</x:v>
      </x:c>
      <x:c r="F12" s="18" t="n">
        <x:v>0.5</x:v>
      </x:c>
      <x:c r="G12" s="18" t="n">
        <x:v>4973.75</x:v>
      </x:c>
      <x:c r="H12" s="18" t="n">
        <x:v>14828.833333333334</x:v>
      </x:c>
      <x:c r="I12" s="18" t="n">
        <x:v>0.605570530098832</x:v>
      </x:c>
    </x:row>
    <x:row r="13">
      <x:c r="A13" s="16" t="n">
        <x:v>55</x:v>
      </x:c>
      <x:c r="B13" s="18" t="n">
        <x:v>3</x:v>
      </x:c>
      <x:c r="C13" s="8" t="str">
        <x:v>3-5min</x:v>
      </x:c>
      <x:c r="D13" s="16" t="n">
        <x:v>185</x:v>
      </x:c>
      <x:c r="E13" s="16" t="n">
        <x:v>185</x:v>
      </x:c>
      <x:c r="F13" s="18" t="n">
        <x:v>1.1666666666666667</x:v>
      </x:c>
      <x:c r="G13" s="18" t="n">
        <x:v>0</x:v>
      </x:c>
      <x:c r="H13" s="18" t="n">
        <x:v>4922.25</x:v>
      </x:c>
      <x:c r="I13" s="18" t="n">
        <x:v>1</x:v>
      </x:c>
    </x:row>
    <x:row r="14">
      <x:c r="A14" s="16" t="n">
        <x:v>55</x:v>
      </x:c>
      <x:c r="B14" s="18" t="n">
        <x:v>3</x:v>
      </x:c>
      <x:c r="C14" s="8" t="str">
        <x:v>30-60s</x:v>
      </x:c>
      <x:c r="D14" s="16" t="n">
        <x:v>1893</x:v>
      </x:c>
      <x:c r="E14" s="16" t="n">
        <x:v>501</x:v>
      </x:c>
      <x:c r="F14" s="18" t="n">
        <x:v>0</x:v>
      </x:c>
      <x:c r="G14" s="18" t="n">
        <x:v>10938</x:v>
      </x:c>
      <x:c r="H14" s="18" t="n">
        <x:v>14823.25</x:v>
      </x:c>
      <x:c r="I14" s="18" t="n">
        <x:v>0.26465927099841524</x:v>
      </x:c>
    </x:row>
    <x:row r="15">
      <x:c r="A15" s="16" t="n">
        <x:v>55</x:v>
      </x:c>
      <x:c r="B15" s="18" t="n">
        <x:v>3</x:v>
      </x:c>
      <x:c r="C15" s="8" t="str">
        <x:v>&lt;30s</x:v>
      </x:c>
      <x:c r="D15" s="16" t="n">
        <x:v>7710</x:v>
      </x:c>
      <x:c r="E15" s="16" t="n">
        <x:v>1158</x:v>
      </x:c>
      <x:c r="F15" s="18" t="n">
        <x:v>0</x:v>
      </x:c>
      <x:c r="G15" s="18" t="n">
        <x:v>20237.5</x:v>
      </x:c>
      <x:c r="H15" s="18" t="n">
        <x:v>24033.75</x:v>
      </x:c>
      <x:c r="I15" s="18" t="n">
        <x:v>0.15019455252918287</x:v>
      </x:c>
    </x:row>
    <x:row r="16">
      <x:c r="A16" s="16" t="n">
        <x:v>55</x:v>
      </x:c>
      <x:c r="B16" s="18" t="n">
        <x:v>3</x:v>
      </x:c>
      <x:c r="C16" s="8" t="str">
        <x:v>&gt;5min</x:v>
      </x:c>
      <x:c r="D16" s="16" t="n">
        <x:v>109</x:v>
      </x:c>
      <x:c r="E16" s="16" t="n">
        <x:v>109</x:v>
      </x:c>
      <x:c r="F16" s="18" t="n">
        <x:v>1</x:v>
      </x:c>
      <x:c r="G16" s="18" t="n">
        <x:v>0</x:v>
      </x:c>
      <x:c r="H16" s="18" t="n">
        <x:v>7218.75</x:v>
      </x:c>
      <x:c r="I16" s="18" t="n">
        <x:v>1</x:v>
      </x:c>
    </x:row>
    <x:row r="17">
      <x:c r="A17" s="16" t="n">
        <x:v>55</x:v>
      </x:c>
      <x:c r="B17" s="18" t="n">
        <x:v>5</x:v>
      </x:c>
      <x:c r="C17" s="8" t="str">
        <x:v>1-3min</x:v>
      </x:c>
      <x:c r="D17" s="16" t="n">
        <x:v>1113</x:v>
      </x:c>
      <x:c r="E17" s="16" t="n">
        <x:v>442</x:v>
      </x:c>
      <x:c r="F17" s="18" t="n">
        <x:v>0.3333333333333333</x:v>
      </x:c>
      <x:c r="G17" s="18" t="n">
        <x:v>8553.416666666666</x:v>
      </x:c>
      <x:c r="H17" s="18" t="n">
        <x:v>14828.833333333334</x:v>
      </x:c>
      <x:c r="I17" s="18" t="n">
        <x:v>0.3971248876909254</x:v>
      </x:c>
    </x:row>
    <x:row r="18">
      <x:c r="A18" s="16" t="n">
        <x:v>55</x:v>
      </x:c>
      <x:c r="B18" s="18" t="n">
        <x:v>5</x:v>
      </x:c>
      <x:c r="C18" s="8" t="str">
        <x:v>3-5min</x:v>
      </x:c>
      <x:c r="D18" s="16" t="n">
        <x:v>185</x:v>
      </x:c>
      <x:c r="E18" s="16" t="n">
        <x:v>143</x:v>
      </x:c>
      <x:c r="F18" s="18" t="n">
        <x:v>1.1666666666666667</x:v>
      </x:c>
      <x:c r="G18" s="18" t="n">
        <x:v>947.4166666666666</x:v>
      </x:c>
      <x:c r="H18" s="18" t="n">
        <x:v>4922.25</x:v>
      </x:c>
      <x:c r="I18" s="18" t="n">
        <x:v>0.772972972972973</x:v>
      </x:c>
    </x:row>
    <x:row r="19">
      <x:c r="A19" s="16" t="n">
        <x:v>55</x:v>
      </x:c>
      <x:c r="B19" s="18" t="n">
        <x:v>5</x:v>
      </x:c>
      <x:c r="C19" s="8" t="str">
        <x:v>30-60s</x:v>
      </x:c>
      <x:c r="D19" s="16" t="n">
        <x:v>1893</x:v>
      </x:c>
      <x:c r="E19" s="16" t="n">
        <x:v>379</x:v>
      </x:c>
      <x:c r="F19" s="18" t="n">
        <x:v>0</x:v>
      </x:c>
      <x:c r="G19" s="18" t="n">
        <x:v>11982.166666666666</x:v>
      </x:c>
      <x:c r="H19" s="18" t="n">
        <x:v>14823.25</x:v>
      </x:c>
      <x:c r="I19" s="18" t="n">
        <x:v>0.20021130480718435</x:v>
      </x:c>
    </x:row>
    <x:row r="20">
      <x:c r="A20" s="16" t="n">
        <x:v>55</x:v>
      </x:c>
      <x:c r="B20" s="18" t="n">
        <x:v>5</x:v>
      </x:c>
      <x:c r="C20" s="8" t="str">
        <x:v>&lt;30s</x:v>
      </x:c>
      <x:c r="D20" s="16" t="n">
        <x:v>7710</x:v>
      </x:c>
      <x:c r="E20" s="16" t="n">
        <x:v>845</x:v>
      </x:c>
      <x:c r="F20" s="18" t="n">
        <x:v>0</x:v>
      </x:c>
      <x:c r="G20" s="18" t="n">
        <x:v>21622.333333333332</x:v>
      </x:c>
      <x:c r="H20" s="18" t="n">
        <x:v>24033.75</x:v>
      </x:c>
      <x:c r="I20" s="18" t="n">
        <x:v>0.10959792477302205</x:v>
      </x:c>
    </x:row>
    <x:row r="21">
      <x:c r="A21" s="16" t="n">
        <x:v>55</x:v>
      </x:c>
      <x:c r="B21" s="18" t="n">
        <x:v>5</x:v>
      </x:c>
      <x:c r="C21" s="8" t="str">
        <x:v>&gt;5min</x:v>
      </x:c>
      <x:c r="D21" s="16" t="n">
        <x:v>109</x:v>
      </x:c>
      <x:c r="E21" s="16" t="n">
        <x:v>109</x:v>
      </x:c>
      <x:c r="F21" s="18" t="n">
        <x:v>1.5</x:v>
      </x:c>
      <x:c r="G21" s="18" t="n">
        <x:v>0</x:v>
      </x:c>
      <x:c r="H21" s="18" t="n">
        <x:v>7218.75</x:v>
      </x:c>
      <x:c r="I21" s="18" t="n">
        <x:v>1</x:v>
      </x:c>
    </x:row>
    <x:row r="22">
      <x:c r="A22" s="16" t="n">
        <x:v>55</x:v>
      </x:c>
      <x:c r="B22" s="18" t="n">
        <x:v>10</x:v>
      </x:c>
      <x:c r="C22" s="8" t="str">
        <x:v>1-3min</x:v>
      </x:c>
      <x:c r="D22" s="16" t="n">
        <x:v>1113</x:v>
      </x:c>
      <x:c r="E22" s="16" t="n">
        <x:v>272</x:v>
      </x:c>
      <x:c r="F22" s="18" t="n">
        <x:v>0.16666666666666666</x:v>
      </x:c>
      <x:c r="G22" s="18" t="n">
        <x:v>11410.666666666666</x:v>
      </x:c>
      <x:c r="H22" s="18" t="n">
        <x:v>14828.833333333334</x:v>
      </x:c>
      <x:c r="I22" s="18" t="n">
        <x:v>0.24438454627133874</x:v>
      </x:c>
    </x:row>
    <x:row r="23">
      <x:c r="A23" s="16" t="n">
        <x:v>55</x:v>
      </x:c>
      <x:c r="B23" s="18" t="n">
        <x:v>10</x:v>
      </x:c>
      <x:c r="C23" s="8" t="str">
        <x:v>3-5min</x:v>
      </x:c>
      <x:c r="D23" s="16" t="n">
        <x:v>185</x:v>
      </x:c>
      <x:c r="E23" s="16" t="n">
        <x:v>79</x:v>
      </x:c>
      <x:c r="F23" s="18" t="n">
        <x:v>0.6666666666666666</x:v>
      </x:c>
      <x:c r="G23" s="18" t="n">
        <x:v>2586.0833333333335</x:v>
      </x:c>
      <x:c r="H23" s="18" t="n">
        <x:v>4922.25</x:v>
      </x:c>
      <x:c r="I23" s="18" t="n">
        <x:v>0.42702702702702705</x:v>
      </x:c>
    </x:row>
    <x:row r="24">
      <x:c r="A24" s="16" t="n">
        <x:v>55</x:v>
      </x:c>
      <x:c r="B24" s="18" t="n">
        <x:v>10</x:v>
      </x:c>
      <x:c r="C24" s="8" t="str">
        <x:v>30-60s</x:v>
      </x:c>
      <x:c r="D24" s="16" t="n">
        <x:v>1893</x:v>
      </x:c>
      <x:c r="E24" s="16" t="n">
        <x:v>226</x:v>
      </x:c>
      <x:c r="F24" s="18" t="n">
        <x:v>0</x:v>
      </x:c>
      <x:c r="G24" s="18" t="n">
        <x:v>13246.083333333334</x:v>
      </x:c>
      <x:c r="H24" s="18" t="n">
        <x:v>14823.25</x:v>
      </x:c>
      <x:c r="I24" s="18" t="n">
        <x:v>0.11938721605916534</x:v>
      </x:c>
    </x:row>
    <x:row r="25">
      <x:c r="A25" s="16" t="n">
        <x:v>55</x:v>
      </x:c>
      <x:c r="B25" s="18" t="n">
        <x:v>10</x:v>
      </x:c>
      <x:c r="C25" s="8" t="str">
        <x:v>&lt;30s</x:v>
      </x:c>
      <x:c r="D25" s="16" t="n">
        <x:v>7710</x:v>
      </x:c>
      <x:c r="E25" s="16" t="n">
        <x:v>531</x:v>
      </x:c>
      <x:c r="F25" s="18" t="n">
        <x:v>0</x:v>
      </x:c>
      <x:c r="G25" s="18" t="n">
        <x:v>22679.166666666668</x:v>
      </x:c>
      <x:c r="H25" s="18" t="n">
        <x:v>24033.75</x:v>
      </x:c>
      <x:c r="I25" s="18" t="n">
        <x:v>0.0688715953307393</x:v>
      </x:c>
    </x:row>
    <x:row r="26">
      <x:c r="A26" s="16" t="n">
        <x:v>55</x:v>
      </x:c>
      <x:c r="B26" s="18" t="n">
        <x:v>10</x:v>
      </x:c>
      <x:c r="C26" s="8" t="str">
        <x:v>&gt;5min</x:v>
      </x:c>
      <x:c r="D26" s="16" t="n">
        <x:v>109</x:v>
      </x:c>
      <x:c r="E26" s="16" t="n">
        <x:v>84</x:v>
      </x:c>
      <x:c r="F26" s="18" t="n">
        <x:v>2.583333333333333</x:v>
      </x:c>
      <x:c r="G26" s="18" t="n">
        <x:v>981.25</x:v>
      </x:c>
      <x:c r="H26" s="18" t="n">
        <x:v>7218.75</x:v>
      </x:c>
      <x:c r="I26" s="18" t="n">
        <x:v>0.7706422018348624</x:v>
      </x:c>
    </x:row>
    <x:row r="27">
      <x:c r="A27" s="16" t="n">
        <x:v>60</x:v>
      </x:c>
      <x:c r="B27" s="18" t="n">
        <x:v>1</x:v>
      </x:c>
      <x:c r="C27" s="8" t="str">
        <x:v>1-3min</x:v>
      </x:c>
      <x:c r="D27" s="16" t="n">
        <x:v>2775</x:v>
      </x:c>
      <x:c r="E27" s="16" t="n">
        <x:v>2775</x:v>
      </x:c>
      <x:c r="F27" s="18" t="n">
        <x:v>0.3333333333333333</x:v>
      </x:c>
      <x:c r="G27" s="18" t="n">
        <x:v>0</x:v>
      </x:c>
      <x:c r="H27" s="18" t="n">
        <x:v>28546.416666666668</x:v>
      </x:c>
      <x:c r="I27" s="18" t="n">
        <x:v>1</x:v>
      </x:c>
    </x:row>
    <x:row r="28">
      <x:c r="A28" s="16" t="n">
        <x:v>60</x:v>
      </x:c>
      <x:c r="B28" s="18" t="n">
        <x:v>1</x:v>
      </x:c>
      <x:c r="C28" s="8" t="str">
        <x:v>3-5min</x:v>
      </x:c>
      <x:c r="D28" s="16" t="n">
        <x:v>690</x:v>
      </x:c>
      <x:c r="E28" s="16" t="n">
        <x:v>690</x:v>
      </x:c>
      <x:c r="F28" s="18" t="n">
        <x:v>0.3333333333333333</x:v>
      </x:c>
      <x:c r="G28" s="18" t="n">
        <x:v>0</x:v>
      </x:c>
      <x:c r="H28" s="18" t="n">
        <x:v>14914.083333333334</x:v>
      </x:c>
      <x:c r="I28" s="18" t="n">
        <x:v>1</x:v>
      </x:c>
    </x:row>
    <x:row r="29">
      <x:c r="A29" s="16" t="n">
        <x:v>60</x:v>
      </x:c>
      <x:c r="B29" s="18" t="n">
        <x:v>1</x:v>
      </x:c>
      <x:c r="C29" s="8" t="str">
        <x:v>30-60s</x:v>
      </x:c>
      <x:c r="D29" s="16" t="n">
        <x:v>3422</x:v>
      </x:c>
      <x:c r="E29" s="16" t="n">
        <x:v>2213</x:v>
      </x:c>
      <x:c r="F29" s="18" t="n">
        <x:v>0.16666666666666666</x:v>
      </x:c>
      <x:c r="G29" s="18" t="n">
        <x:v>7407.25</x:v>
      </x:c>
      <x:c r="H29" s="18" t="n">
        <x:v>20970.25</x:v>
      </x:c>
      <x:c r="I29" s="18" t="n">
        <x:v>0.646697837521917</x:v>
      </x:c>
    </x:row>
    <x:row r="30">
      <x:c r="A30" s="16" t="n">
        <x:v>60</x:v>
      </x:c>
      <x:c r="B30" s="18" t="n">
        <x:v>1</x:v>
      </x:c>
      <x:c r="C30" s="8" t="str">
        <x:v>&lt;30s</x:v>
      </x:c>
      <x:c r="D30" s="16" t="n">
        <x:v>11117</x:v>
      </x:c>
      <x:c r="E30" s="16" t="n">
        <x:v>3581</x:v>
      </x:c>
      <x:c r="F30" s="18" t="n">
        <x:v>0</x:v>
      </x:c>
      <x:c r="G30" s="18" t="n">
        <x:v>19567</x:v>
      </x:c>
      <x:c r="H30" s="18" t="n">
        <x:v>30059.583333333332</x:v>
      </x:c>
      <x:c r="I30" s="18" t="n">
        <x:v>0.3221192767833049</x:v>
      </x:c>
    </x:row>
    <x:row r="31">
      <x:c r="A31" s="16" t="n">
        <x:v>60</x:v>
      </x:c>
      <x:c r="B31" s="18" t="n">
        <x:v>1</x:v>
      </x:c>
      <x:c r="C31" s="8" t="str">
        <x:v>&gt;5min</x:v>
      </x:c>
      <x:c r="D31" s="16" t="n">
        <x:v>440</x:v>
      </x:c>
      <x:c r="E31" s="16" t="n">
        <x:v>440</x:v>
      </x:c>
      <x:c r="F31" s="18" t="n">
        <x:v>0.3333333333333333</x:v>
      </x:c>
      <x:c r="G31" s="18" t="n">
        <x:v>0</x:v>
      </x:c>
      <x:c r="H31" s="18" t="n">
        <x:v>25620.166666666668</x:v>
      </x:c>
      <x:c r="I31" s="18" t="n">
        <x:v>1</x:v>
      </x:c>
    </x:row>
    <x:row r="32">
      <x:c r="A32" s="16" t="n">
        <x:v>60</x:v>
      </x:c>
      <x:c r="B32" s="18" t="n">
        <x:v>2.5</x:v>
      </x:c>
      <x:c r="C32" s="8" t="str">
        <x:v>1-3min</x:v>
      </x:c>
      <x:c r="D32" s="16" t="n">
        <x:v>2775</x:v>
      </x:c>
      <x:c r="E32" s="16" t="n">
        <x:v>1964</x:v>
      </x:c>
      <x:c r="F32" s="18" t="n">
        <x:v>0.5</x:v>
      </x:c>
      <x:c r="G32" s="18" t="n">
        <x:v>6947.25</x:v>
      </x:c>
      <x:c r="H32" s="18" t="n">
        <x:v>28546.416666666668</x:v>
      </x:c>
      <x:c r="I32" s="18" t="n">
        <x:v>0.7077477477477477</x:v>
      </x:c>
    </x:row>
    <x:row r="33">
      <x:c r="A33" s="16" t="n">
        <x:v>60</x:v>
      </x:c>
      <x:c r="B33" s="18" t="n">
        <x:v>2.5</x:v>
      </x:c>
      <x:c r="C33" s="8" t="str">
        <x:v>3-5min</x:v>
      </x:c>
      <x:c r="D33" s="16" t="n">
        <x:v>690</x:v>
      </x:c>
      <x:c r="E33" s="16" t="n">
        <x:v>690</x:v>
      </x:c>
      <x:c r="F33" s="18" t="n">
        <x:v>0.8333333333333334</x:v>
      </x:c>
      <x:c r="G33" s="18" t="n">
        <x:v>0</x:v>
      </x:c>
      <x:c r="H33" s="18" t="n">
        <x:v>14914.083333333334</x:v>
      </x:c>
      <x:c r="I33" s="18" t="n">
        <x:v>1</x:v>
      </x:c>
    </x:row>
    <x:row r="34">
      <x:c r="A34" s="16" t="n">
        <x:v>60</x:v>
      </x:c>
      <x:c r="B34" s="18" t="n">
        <x:v>2.5</x:v>
      </x:c>
      <x:c r="C34" s="8" t="str">
        <x:v>30-60s</x:v>
      </x:c>
      <x:c r="D34" s="16" t="n">
        <x:v>3422</x:v>
      </x:c>
      <x:c r="E34" s="16" t="n">
        <x:v>1271</x:v>
      </x:c>
      <x:c r="F34" s="18" t="n">
        <x:v>0</x:v>
      </x:c>
      <x:c r="G34" s="18" t="n">
        <x:v>13551.75</x:v>
      </x:c>
      <x:c r="H34" s="18" t="n">
        <x:v>20970.25</x:v>
      </x:c>
      <x:c r="I34" s="18" t="n">
        <x:v>0.37142022209234365</x:v>
      </x:c>
    </x:row>
    <x:row r="35">
      <x:c r="A35" s="16" t="n">
        <x:v>60</x:v>
      </x:c>
      <x:c r="B35" s="18" t="n">
        <x:v>2.5</x:v>
      </x:c>
      <x:c r="C35" s="8" t="str">
        <x:v>&lt;30s</x:v>
      </x:c>
      <x:c r="D35" s="16" t="n">
        <x:v>11117</x:v>
      </x:c>
      <x:c r="E35" s="16" t="n">
        <x:v>2293</x:v>
      </x:c>
      <x:c r="F35" s="18" t="n">
        <x:v>0</x:v>
      </x:c>
      <x:c r="G35" s="18" t="n">
        <x:v>24479.416666666668</x:v>
      </x:c>
      <x:c r="H35" s="18" t="n">
        <x:v>30059.583333333332</x:v>
      </x:c>
      <x:c r="I35" s="18" t="n">
        <x:v>0.20626068183862553</x:v>
      </x:c>
    </x:row>
    <x:row r="36">
      <x:c r="A36" s="16" t="n">
        <x:v>60</x:v>
      </x:c>
      <x:c r="B36" s="18" t="n">
        <x:v>2.5</x:v>
      </x:c>
      <x:c r="C36" s="8" t="str">
        <x:v>&gt;5min</x:v>
      </x:c>
      <x:c r="D36" s="16" t="n">
        <x:v>440</x:v>
      </x:c>
      <x:c r="E36" s="16" t="n">
        <x:v>440</x:v>
      </x:c>
      <x:c r="F36" s="18" t="n">
        <x:v>0.8333333333333334</x:v>
      </x:c>
      <x:c r="G36" s="18" t="n">
        <x:v>0</x:v>
      </x:c>
      <x:c r="H36" s="18" t="n">
        <x:v>25620.166666666668</x:v>
      </x:c>
      <x:c r="I36" s="18" t="n">
        <x:v>1</x:v>
      </x:c>
    </x:row>
    <x:row r="37">
      <x:c r="A37" s="16" t="n">
        <x:v>60</x:v>
      </x:c>
      <x:c r="B37" s="18" t="n">
        <x:v>3</x:v>
      </x:c>
      <x:c r="C37" s="8" t="str">
        <x:v>1-3min</x:v>
      </x:c>
      <x:c r="D37" s="16" t="n">
        <x:v>2775</x:v>
      </x:c>
      <x:c r="E37" s="16" t="n">
        <x:v>1728</x:v>
      </x:c>
      <x:c r="F37" s="18" t="n">
        <x:v>0.5</x:v>
      </x:c>
      <x:c r="G37" s="18" t="n">
        <x:v>9253.416666666666</x:v>
      </x:c>
      <x:c r="H37" s="18" t="n">
        <x:v>28546.416666666668</x:v>
      </x:c>
      <x:c r="I37" s="18" t="n">
        <x:v>0.6227027027027027</x:v>
      </x:c>
    </x:row>
    <x:row r="38">
      <x:c r="A38" s="16" t="n">
        <x:v>60</x:v>
      </x:c>
      <x:c r="B38" s="18" t="n">
        <x:v>3</x:v>
      </x:c>
      <x:c r="C38" s="8" t="str">
        <x:v>3-5min</x:v>
      </x:c>
      <x:c r="D38" s="16" t="n">
        <x:v>690</x:v>
      </x:c>
      <x:c r="E38" s="16" t="n">
        <x:v>690</x:v>
      </x:c>
      <x:c r="F38" s="18" t="n">
        <x:v>1.1666666666666667</x:v>
      </x:c>
      <x:c r="G38" s="18" t="n">
        <x:v>0</x:v>
      </x:c>
      <x:c r="H38" s="18" t="n">
        <x:v>14914.083333333334</x:v>
      </x:c>
      <x:c r="I38" s="18" t="n">
        <x:v>1</x:v>
      </x:c>
    </x:row>
    <x:row r="39">
      <x:c r="A39" s="16" t="n">
        <x:v>60</x:v>
      </x:c>
      <x:c r="B39" s="18" t="n">
        <x:v>3</x:v>
      </x:c>
      <x:c r="C39" s="8" t="str">
        <x:v>30-60s</x:v>
      </x:c>
      <x:c r="D39" s="16" t="n">
        <x:v>3422</x:v>
      </x:c>
      <x:c r="E39" s="16" t="n">
        <x:v>1091</x:v>
      </x:c>
      <x:c r="F39" s="18" t="n">
        <x:v>0</x:v>
      </x:c>
      <x:c r="G39" s="18" t="n">
        <x:v>15071.25</x:v>
      </x:c>
      <x:c r="H39" s="18" t="n">
        <x:v>20970.25</x:v>
      </x:c>
      <x:c r="I39" s="18" t="n">
        <x:v>0.3188194038573933</x:v>
      </x:c>
    </x:row>
    <x:row r="40">
      <x:c r="A40" s="16" t="n">
        <x:v>60</x:v>
      </x:c>
      <x:c r="B40" s="18" t="n">
        <x:v>3</x:v>
      </x:c>
      <x:c r="C40" s="8" t="str">
        <x:v>&lt;30s</x:v>
      </x:c>
      <x:c r="D40" s="16" t="n">
        <x:v>11117</x:v>
      </x:c>
      <x:c r="E40" s="16" t="n">
        <x:v>2060</x:v>
      </x:c>
      <x:c r="F40" s="18" t="n">
        <x:v>0</x:v>
      </x:c>
      <x:c r="G40" s="18" t="n">
        <x:v>24983.416666666668</x:v>
      </x:c>
      <x:c r="H40" s="18" t="n">
        <x:v>30059.583333333332</x:v>
      </x:c>
      <x:c r="I40" s="18" t="n">
        <x:v>0.1853017900512728</x:v>
      </x:c>
    </x:row>
    <x:row r="41">
      <x:c r="A41" s="16" t="n">
        <x:v>60</x:v>
      </x:c>
      <x:c r="B41" s="18" t="n">
        <x:v>3</x:v>
      </x:c>
      <x:c r="C41" s="8" t="str">
        <x:v>&gt;5min</x:v>
      </x:c>
      <x:c r="D41" s="16" t="n">
        <x:v>440</x:v>
      </x:c>
      <x:c r="E41" s="16" t="n">
        <x:v>440</x:v>
      </x:c>
      <x:c r="F41" s="18" t="n">
        <x:v>0.8333333333333334</x:v>
      </x:c>
      <x:c r="G41" s="18" t="n">
        <x:v>0</x:v>
      </x:c>
      <x:c r="H41" s="18" t="n">
        <x:v>25620.166666666668</x:v>
      </x:c>
      <x:c r="I41" s="18" t="n">
        <x:v>1</x:v>
      </x:c>
    </x:row>
    <x:row r="42">
      <x:c r="A42" s="16" t="n">
        <x:v>60</x:v>
      </x:c>
      <x:c r="B42" s="18" t="n">
        <x:v>5</x:v>
      </x:c>
      <x:c r="C42" s="8" t="str">
        <x:v>1-3min</x:v>
      </x:c>
      <x:c r="D42" s="16" t="n">
        <x:v>2775</x:v>
      </x:c>
      <x:c r="E42" s="16" t="n">
        <x:v>1196</x:v>
      </x:c>
      <x:c r="F42" s="18" t="n">
        <x:v>0.3333333333333333</x:v>
      </x:c>
      <x:c r="G42" s="18" t="n">
        <x:v>15578.166666666666</x:v>
      </x:c>
      <x:c r="H42" s="18" t="n">
        <x:v>28546.416666666668</x:v>
      </x:c>
      <x:c r="I42" s="18" t="n">
        <x:v>0.430990990990991</x:v>
      </x:c>
    </x:row>
    <x:row r="43">
      <x:c r="A43" s="16" t="n">
        <x:v>60</x:v>
      </x:c>
      <x:c r="B43" s="18" t="n">
        <x:v>5</x:v>
      </x:c>
      <x:c r="C43" s="8" t="str">
        <x:v>3-5min</x:v>
      </x:c>
      <x:c r="D43" s="16" t="n">
        <x:v>690</x:v>
      </x:c>
      <x:c r="E43" s="16" t="n">
        <x:v>543</x:v>
      </x:c>
      <x:c r="F43" s="18" t="n">
        <x:v>1.1666666666666667</x:v>
      </x:c>
      <x:c r="G43" s="18" t="n">
        <x:v>2752.75</x:v>
      </x:c>
      <x:c r="H43" s="18" t="n">
        <x:v>14914.083333333334</x:v>
      </x:c>
      <x:c r="I43" s="18" t="n">
        <x:v>0.7869565217391304</x:v>
      </x:c>
    </x:row>
    <x:row r="44">
      <x:c r="A44" s="16" t="n">
        <x:v>60</x:v>
      </x:c>
      <x:c r="B44" s="18" t="n">
        <x:v>5</x:v>
      </x:c>
      <x:c r="C44" s="8" t="str">
        <x:v>30-60s</x:v>
      </x:c>
      <x:c r="D44" s="16" t="n">
        <x:v>3422</x:v>
      </x:c>
      <x:c r="E44" s="16" t="n">
        <x:v>814</x:v>
      </x:c>
      <x:c r="F44" s="18" t="n">
        <x:v>0</x:v>
      </x:c>
      <x:c r="G44" s="18" t="n">
        <x:v>16749.416666666668</x:v>
      </x:c>
      <x:c r="H44" s="18" t="n">
        <x:v>20970.25</x:v>
      </x:c>
      <x:c r="I44" s="18" t="n">
        <x:v>0.23787258912916423</x:v>
      </x:c>
    </x:row>
    <x:row r="45">
      <x:c r="A45" s="16" t="n">
        <x:v>60</x:v>
      </x:c>
      <x:c r="B45" s="18" t="n">
        <x:v>5</x:v>
      </x:c>
      <x:c r="C45" s="8" t="str">
        <x:v>&lt;30s</x:v>
      </x:c>
      <x:c r="D45" s="16" t="n">
        <x:v>11117</x:v>
      </x:c>
      <x:c r="E45" s="16" t="n">
        <x:v>1659</x:v>
      </x:c>
      <x:c r="F45" s="18" t="n">
        <x:v>0</x:v>
      </x:c>
      <x:c r="G45" s="18" t="n">
        <x:v>26615.75</x:v>
      </x:c>
      <x:c r="H45" s="18" t="n">
        <x:v>30059.583333333332</x:v>
      </x:c>
      <x:c r="I45" s="18" t="n">
        <x:v>0.14923090761896196</x:v>
      </x:c>
    </x:row>
    <x:row r="46">
      <x:c r="A46" s="16" t="n">
        <x:v>60</x:v>
      </x:c>
      <x:c r="B46" s="18" t="n">
        <x:v>5</x:v>
      </x:c>
      <x:c r="C46" s="8" t="str">
        <x:v>&gt;5min</x:v>
      </x:c>
      <x:c r="D46" s="16" t="n">
        <x:v>440</x:v>
      </x:c>
      <x:c r="E46" s="16" t="n">
        <x:v>440</x:v>
      </x:c>
      <x:c r="F46" s="18" t="n">
        <x:v>1.6666666666666667</x:v>
      </x:c>
      <x:c r="G46" s="18" t="n">
        <x:v>0</x:v>
      </x:c>
      <x:c r="H46" s="18" t="n">
        <x:v>25620.166666666668</x:v>
      </x:c>
      <x:c r="I46" s="18" t="n">
        <x:v>1</x:v>
      </x:c>
    </x:row>
    <x:row r="47">
      <x:c r="A47" s="16" t="n">
        <x:v>60</x:v>
      </x:c>
      <x:c r="B47" s="18" t="n">
        <x:v>10</x:v>
      </x:c>
      <x:c r="C47" s="8" t="str">
        <x:v>1-3min</x:v>
      </x:c>
      <x:c r="D47" s="16" t="n">
        <x:v>2775</x:v>
      </x:c>
      <x:c r="E47" s="16" t="n">
        <x:v>791</x:v>
      </x:c>
      <x:c r="F47" s="18" t="n">
        <x:v>0</x:v>
      </x:c>
      <x:c r="G47" s="18" t="n">
        <x:v>20583</x:v>
      </x:c>
      <x:c r="H47" s="18" t="n">
        <x:v>28546.416666666668</x:v>
      </x:c>
      <x:c r="I47" s="18" t="n">
        <x:v>0.285045045045045</x:v>
      </x:c>
    </x:row>
    <x:row r="48">
      <x:c r="A48" s="16" t="n">
        <x:v>60</x:v>
      </x:c>
      <x:c r="B48" s="18" t="n">
        <x:v>10</x:v>
      </x:c>
      <x:c r="C48" s="8" t="str">
        <x:v>3-5min</x:v>
      </x:c>
      <x:c r="D48" s="16" t="n">
        <x:v>690</x:v>
      </x:c>
      <x:c r="E48" s="16" t="n">
        <x:v>323</x:v>
      </x:c>
      <x:c r="F48" s="18" t="n">
        <x:v>0.5</x:v>
      </x:c>
      <x:c r="G48" s="18" t="n">
        <x:v>7568.5</x:v>
      </x:c>
      <x:c r="H48" s="18" t="n">
        <x:v>14914.083333333334</x:v>
      </x:c>
      <x:c r="I48" s="18" t="n">
        <x:v>0.4681159420289855</x:v>
      </x:c>
    </x:row>
    <x:row r="49">
      <x:c r="A49" s="16" t="n">
        <x:v>60</x:v>
      </x:c>
      <x:c r="B49" s="18" t="n">
        <x:v>10</x:v>
      </x:c>
      <x:c r="C49" s="8" t="str">
        <x:v>30-60s</x:v>
      </x:c>
      <x:c r="D49" s="16" t="n">
        <x:v>3422</x:v>
      </x:c>
      <x:c r="E49" s="16" t="n">
        <x:v>567</x:v>
      </x:c>
      <x:c r="F49" s="18" t="n">
        <x:v>0</x:v>
      </x:c>
      <x:c r="G49" s="18" t="n">
        <x:v>18344.25</x:v>
      </x:c>
      <x:c r="H49" s="18" t="n">
        <x:v>20970.25</x:v>
      </x:c>
      <x:c r="I49" s="18" t="n">
        <x:v>0.16569257744009352</x:v>
      </x:c>
    </x:row>
    <x:row r="50">
      <x:c r="A50" s="16" t="n">
        <x:v>60</x:v>
      </x:c>
      <x:c r="B50" s="18" t="n">
        <x:v>10</x:v>
      </x:c>
      <x:c r="C50" s="8" t="str">
        <x:v>&lt;30s</x:v>
      </x:c>
      <x:c r="D50" s="16" t="n">
        <x:v>11117</x:v>
      </x:c>
      <x:c r="E50" s="16" t="n">
        <x:v>1186</x:v>
      </x:c>
      <x:c r="F50" s="18" t="n">
        <x:v>0</x:v>
      </x:c>
      <x:c r="G50" s="18" t="n">
        <x:v>27978.75</x:v>
      </x:c>
      <x:c r="H50" s="18" t="n">
        <x:v>30059.583333333332</x:v>
      </x:c>
      <x:c r="I50" s="18" t="n">
        <x:v>0.10668345776738329</x:v>
      </x:c>
    </x:row>
    <x:row r="51">
      <x:c r="A51" s="16" t="n">
        <x:v>60</x:v>
      </x:c>
      <x:c r="B51" s="18" t="n">
        <x:v>10</x:v>
      </x:c>
      <x:c r="C51" s="8" t="str">
        <x:v>&gt;5min</x:v>
      </x:c>
      <x:c r="D51" s="16" t="n">
        <x:v>440</x:v>
      </x:c>
      <x:c r="E51" s="16" t="n">
        <x:v>347</x:v>
      </x:c>
      <x:c r="F51" s="18" t="n">
        <x:v>1.8333333333333333</x:v>
      </x:c>
      <x:c r="G51" s="18" t="n">
        <x:v>3498.8333333333335</x:v>
      </x:c>
      <x:c r="H51" s="18" t="n">
        <x:v>25620.166666666668</x:v>
      </x:c>
      <x:c r="I51" s="18" t="n">
        <x:v>0.7886363636363637</x:v>
      </x:c>
    </x:row>
    <x:row r="52">
      <x:c r="A52" s="16" t="n">
        <x:v>65</x:v>
      </x:c>
      <x:c r="B52" s="18" t="n">
        <x:v>1</x:v>
      </x:c>
      <x:c r="C52" s="8" t="str">
        <x:v>1-3min</x:v>
      </x:c>
      <x:c r="D52" s="16" t="n">
        <x:v>5438</x:v>
      </x:c>
      <x:c r="E52" s="16" t="n">
        <x:v>5438</x:v>
      </x:c>
      <x:c r="F52" s="18" t="n">
        <x:v>0.3333333333333333</x:v>
      </x:c>
      <x:c r="G52" s="18" t="n">
        <x:v>0</x:v>
      </x:c>
      <x:c r="H52" s="18" t="n">
        <x:v>51869.666666666664</x:v>
      </x:c>
      <x:c r="I52" s="18" t="n">
        <x:v>1</x:v>
      </x:c>
    </x:row>
    <x:row r="53">
      <x:c r="A53" s="16" t="n">
        <x:v>65</x:v>
      </x:c>
      <x:c r="B53" s="18" t="n">
        <x:v>1</x:v>
      </x:c>
      <x:c r="C53" s="8" t="str">
        <x:v>3-5min</x:v>
      </x:c>
      <x:c r="D53" s="16" t="n">
        <x:v>1931</x:v>
      </x:c>
      <x:c r="E53" s="16" t="n">
        <x:v>1931</x:v>
      </x:c>
      <x:c r="F53" s="18" t="n">
        <x:v>0.3333333333333333</x:v>
      </x:c>
      <x:c r="G53" s="18" t="n">
        <x:v>0</x:v>
      </x:c>
      <x:c r="H53" s="18" t="n">
        <x:v>40869.25</x:v>
      </x:c>
      <x:c r="I53" s="18" t="n">
        <x:v>1</x:v>
      </x:c>
    </x:row>
    <x:row r="54">
      <x:c r="A54" s="16" t="n">
        <x:v>65</x:v>
      </x:c>
      <x:c r="B54" s="18" t="n">
        <x:v>1</x:v>
      </x:c>
      <x:c r="C54" s="8" t="str">
        <x:v>30-60s</x:v>
      </x:c>
      <x:c r="D54" s="16" t="n">
        <x:v>5920</x:v>
      </x:c>
      <x:c r="E54" s="16" t="n">
        <x:v>3944</x:v>
      </x:c>
      <x:c r="F54" s="18" t="n">
        <x:v>0</x:v>
      </x:c>
      <x:c r="G54" s="18" t="n">
        <x:v>9387.75</x:v>
      </x:c>
      <x:c r="H54" s="18" t="n">
        <x:v>27575.916666666668</x:v>
      </x:c>
      <x:c r="I54" s="18" t="n">
        <x:v>0.6662162162162162</x:v>
      </x:c>
    </x:row>
    <x:row r="55">
      <x:c r="A55" s="16" t="n">
        <x:v>65</x:v>
      </x:c>
      <x:c r="B55" s="18" t="n">
        <x:v>1</x:v>
      </x:c>
      <x:c r="C55" s="8" t="str">
        <x:v>&lt;30s</x:v>
      </x:c>
      <x:c r="D55" s="16" t="n">
        <x:v>17008</x:v>
      </x:c>
      <x:c r="E55" s="16" t="n">
        <x:v>5930</x:v>
      </x:c>
      <x:c r="F55" s="18" t="n">
        <x:v>0</x:v>
      </x:c>
      <x:c r="G55" s="18" t="n">
        <x:v>23488.916666666668</x:v>
      </x:c>
      <x:c r="H55" s="18" t="n">
        <x:v>36094</x:v>
      </x:c>
      <x:c r="I55" s="18" t="n">
        <x:v>0.34865945437441204</x:v>
      </x:c>
    </x:row>
    <x:row r="56">
      <x:c r="A56" s="16" t="n">
        <x:v>65</x:v>
      </x:c>
      <x:c r="B56" s="18" t="n">
        <x:v>1</x:v>
      </x:c>
      <x:c r="C56" s="8" t="str">
        <x:v>&gt;5min</x:v>
      </x:c>
      <x:c r="D56" s="16" t="n">
        <x:v>1818</x:v>
      </x:c>
      <x:c r="E56" s="16" t="n">
        <x:v>1818</x:v>
      </x:c>
      <x:c r="F56" s="18" t="n">
        <x:v>0.3333333333333333</x:v>
      </x:c>
      <x:c r="G56" s="18" t="n">
        <x:v>0</x:v>
      </x:c>
      <x:c r="H56" s="18" t="n">
        <x:v>105813</x:v>
      </x:c>
      <x:c r="I56" s="18" t="n">
        <x:v>1</x:v>
      </x:c>
    </x:row>
    <x:row r="57">
      <x:c r="A57" s="16" t="n">
        <x:v>65</x:v>
      </x:c>
      <x:c r="B57" s="18" t="n">
        <x:v>2.5</x:v>
      </x:c>
      <x:c r="C57" s="8" t="str">
        <x:v>1-3min</x:v>
      </x:c>
      <x:c r="D57" s="16" t="n">
        <x:v>5438</x:v>
      </x:c>
      <x:c r="E57" s="16" t="n">
        <x:v>4069</x:v>
      </x:c>
      <x:c r="F57" s="18" t="n">
        <x:v>0.3333333333333333</x:v>
      </x:c>
      <x:c r="G57" s="18" t="n">
        <x:v>10704.25</x:v>
      </x:c>
      <x:c r="H57" s="18" t="n">
        <x:v>51869.666666666664</x:v>
      </x:c>
      <x:c r="I57" s="18" t="n">
        <x:v>0.7482530342037513</x:v>
      </x:c>
    </x:row>
    <x:row r="58">
      <x:c r="A58" s="16" t="n">
        <x:v>65</x:v>
      </x:c>
      <x:c r="B58" s="18" t="n">
        <x:v>2.5</x:v>
      </x:c>
      <x:c r="C58" s="8" t="str">
        <x:v>3-5min</x:v>
      </x:c>
      <x:c r="D58" s="16" t="n">
        <x:v>1931</x:v>
      </x:c>
      <x:c r="E58" s="16" t="n">
        <x:v>1931</x:v>
      </x:c>
      <x:c r="F58" s="18" t="n">
        <x:v>0.8333333333333334</x:v>
      </x:c>
      <x:c r="G58" s="18" t="n">
        <x:v>0</x:v>
      </x:c>
      <x:c r="H58" s="18" t="n">
        <x:v>40869.25</x:v>
      </x:c>
      <x:c r="I58" s="18" t="n">
        <x:v>1</x:v>
      </x:c>
    </x:row>
    <x:row r="59">
      <x:c r="A59" s="16" t="n">
        <x:v>65</x:v>
      </x:c>
      <x:c r="B59" s="18" t="n">
        <x:v>2.5</x:v>
      </x:c>
      <x:c r="C59" s="8" t="str">
        <x:v>30-60s</x:v>
      </x:c>
      <x:c r="D59" s="16" t="n">
        <x:v>5920</x:v>
      </x:c>
      <x:c r="E59" s="16" t="n">
        <x:v>2468</x:v>
      </x:c>
      <x:c r="F59" s="18" t="n">
        <x:v>0</x:v>
      </x:c>
      <x:c r="G59" s="18" t="n">
        <x:v>16980.75</x:v>
      </x:c>
      <x:c r="H59" s="18" t="n">
        <x:v>27575.916666666668</x:v>
      </x:c>
      <x:c r="I59" s="18" t="n">
        <x:v>0.4168918918918919</x:v>
      </x:c>
    </x:row>
    <x:row r="60">
      <x:c r="A60" s="16" t="n">
        <x:v>65</x:v>
      </x:c>
      <x:c r="B60" s="18" t="n">
        <x:v>2.5</x:v>
      </x:c>
      <x:c r="C60" s="8" t="str">
        <x:v>&lt;30s</x:v>
      </x:c>
      <x:c r="D60" s="16" t="n">
        <x:v>17008</x:v>
      </x:c>
      <x:c r="E60" s="16" t="n">
        <x:v>4397</x:v>
      </x:c>
      <x:c r="F60" s="18" t="n">
        <x:v>0</x:v>
      </x:c>
      <x:c r="G60" s="18" t="n">
        <x:v>28833.416666666668</x:v>
      </x:c>
      <x:c r="H60" s="18" t="n">
        <x:v>36094</x:v>
      </x:c>
      <x:c r="I60" s="18" t="n">
        <x:v>0.25852539981185324</x:v>
      </x:c>
    </x:row>
    <x:row r="61">
      <x:c r="A61" s="16" t="n">
        <x:v>65</x:v>
      </x:c>
      <x:c r="B61" s="18" t="n">
        <x:v>2.5</x:v>
      </x:c>
      <x:c r="C61" s="8" t="str">
        <x:v>&gt;5min</x:v>
      </x:c>
      <x:c r="D61" s="16" t="n">
        <x:v>1818</x:v>
      </x:c>
      <x:c r="E61" s="16" t="n">
        <x:v>1818</x:v>
      </x:c>
      <x:c r="F61" s="18" t="n">
        <x:v>0.8333333333333334</x:v>
      </x:c>
      <x:c r="G61" s="18" t="n">
        <x:v>0</x:v>
      </x:c>
      <x:c r="H61" s="18" t="n">
        <x:v>105813</x:v>
      </x:c>
      <x:c r="I61" s="18" t="n">
        <x:v>1</x:v>
      </x:c>
    </x:row>
    <x:row r="62">
      <x:c r="A62" s="16" t="n">
        <x:v>65</x:v>
      </x:c>
      <x:c r="B62" s="18" t="n">
        <x:v>3</x:v>
      </x:c>
      <x:c r="C62" s="8" t="str">
        <x:v>1-3min</x:v>
      </x:c>
      <x:c r="D62" s="16" t="n">
        <x:v>5438</x:v>
      </x:c>
      <x:c r="E62" s="16" t="n">
        <x:v>3564</x:v>
      </x:c>
      <x:c r="F62" s="18" t="n">
        <x:v>0.3333333333333333</x:v>
      </x:c>
      <x:c r="G62" s="18" t="n">
        <x:v>15508.166666666666</x:v>
      </x:c>
      <x:c r="H62" s="18" t="n">
        <x:v>51869.666666666664</x:v>
      </x:c>
      <x:c r="I62" s="18" t="n">
        <x:v>0.6553880102979036</x:v>
      </x:c>
    </x:row>
    <x:row r="63">
      <x:c r="A63" s="16" t="n">
        <x:v>65</x:v>
      </x:c>
      <x:c r="B63" s="18" t="n">
        <x:v>3</x:v>
      </x:c>
      <x:c r="C63" s="8" t="str">
        <x:v>3-5min</x:v>
      </x:c>
      <x:c r="D63" s="16" t="n">
        <x:v>1931</x:v>
      </x:c>
      <x:c r="E63" s="16" t="n">
        <x:v>1931</x:v>
      </x:c>
      <x:c r="F63" s="18" t="n">
        <x:v>1</x:v>
      </x:c>
      <x:c r="G63" s="18" t="n">
        <x:v>0</x:v>
      </x:c>
      <x:c r="H63" s="18" t="n">
        <x:v>40869.25</x:v>
      </x:c>
      <x:c r="I63" s="18" t="n">
        <x:v>1</x:v>
      </x:c>
    </x:row>
    <x:row r="64">
      <x:c r="A64" s="16" t="n">
        <x:v>65</x:v>
      </x:c>
      <x:c r="B64" s="18" t="n">
        <x:v>3</x:v>
      </x:c>
      <x:c r="C64" s="8" t="str">
        <x:v>30-60s</x:v>
      </x:c>
      <x:c r="D64" s="16" t="n">
        <x:v>5920</x:v>
      </x:c>
      <x:c r="E64" s="16" t="n">
        <x:v>2196</x:v>
      </x:c>
      <x:c r="F64" s="18" t="n">
        <x:v>0</x:v>
      </x:c>
      <x:c r="G64" s="18" t="n">
        <x:v>18827</x:v>
      </x:c>
      <x:c r="H64" s="18" t="n">
        <x:v>27575.916666666668</x:v>
      </x:c>
      <x:c r="I64" s="18" t="n">
        <x:v>0.37094594594594593</x:v>
      </x:c>
    </x:row>
    <x:row r="65">
      <x:c r="A65" s="16" t="n">
        <x:v>65</x:v>
      </x:c>
      <x:c r="B65" s="18" t="n">
        <x:v>3</x:v>
      </x:c>
      <x:c r="C65" s="8" t="str">
        <x:v>&lt;30s</x:v>
      </x:c>
      <x:c r="D65" s="16" t="n">
        <x:v>17008</x:v>
      </x:c>
      <x:c r="E65" s="16" t="n">
        <x:v>4110</x:v>
      </x:c>
      <x:c r="F65" s="18" t="n">
        <x:v>0</x:v>
      </x:c>
      <x:c r="G65" s="18" t="n">
        <x:v>29270.666666666668</x:v>
      </x:c>
      <x:c r="H65" s="18" t="n">
        <x:v>36094</x:v>
      </x:c>
      <x:c r="I65" s="18" t="n">
        <x:v>0.24165098777046096</x:v>
      </x:c>
    </x:row>
    <x:row r="66">
      <x:c r="A66" s="16" t="n">
        <x:v>65</x:v>
      </x:c>
      <x:c r="B66" s="18" t="n">
        <x:v>3</x:v>
      </x:c>
      <x:c r="C66" s="8" t="str">
        <x:v>&gt;5min</x:v>
      </x:c>
      <x:c r="D66" s="16" t="n">
        <x:v>1818</x:v>
      </x:c>
      <x:c r="E66" s="16" t="n">
        <x:v>1818</x:v>
      </x:c>
      <x:c r="F66" s="18" t="n">
        <x:v>0.8333333333333334</x:v>
      </x:c>
      <x:c r="G66" s="18" t="n">
        <x:v>0</x:v>
      </x:c>
      <x:c r="H66" s="18" t="n">
        <x:v>105813</x:v>
      </x:c>
      <x:c r="I66" s="18" t="n">
        <x:v>1</x:v>
      </x:c>
    </x:row>
    <x:row r="67">
      <x:c r="A67" s="16" t="n">
        <x:v>65</x:v>
      </x:c>
      <x:c r="B67" s="18" t="n">
        <x:v>5</x:v>
      </x:c>
      <x:c r="C67" s="8" t="str">
        <x:v>1-3min</x:v>
      </x:c>
      <x:c r="D67" s="16" t="n">
        <x:v>5438</x:v>
      </x:c>
      <x:c r="E67" s="16" t="n">
        <x:v>2672</x:v>
      </x:c>
      <x:c r="F67" s="18" t="n">
        <x:v>0</x:v>
      </x:c>
      <x:c r="G67" s="18" t="n">
        <x:v>25845.083333333332</x:v>
      </x:c>
      <x:c r="H67" s="18" t="n">
        <x:v>51869.666666666664</x:v>
      </x:c>
      <x:c r="I67" s="18" t="n">
        <x:v>0.4913571165869805</x:v>
      </x:c>
    </x:row>
    <x:row r="68">
      <x:c r="A68" s="16" t="n">
        <x:v>65</x:v>
      </x:c>
      <x:c r="B68" s="18" t="n">
        <x:v>5</x:v>
      </x:c>
      <x:c r="C68" s="8" t="str">
        <x:v>3-5min</x:v>
      </x:c>
      <x:c r="D68" s="16" t="n">
        <x:v>1931</x:v>
      </x:c>
      <x:c r="E68" s="16" t="n">
        <x:v>1545</x:v>
      </x:c>
      <x:c r="F68" s="18" t="n">
        <x:v>1.1666666666666667</x:v>
      </x:c>
      <x:c r="G68" s="18" t="n">
        <x:v>7579.083333333333</x:v>
      </x:c>
      <x:c r="H68" s="18" t="n">
        <x:v>40869.25</x:v>
      </x:c>
      <x:c r="I68" s="18" t="n">
        <x:v>0.8001035732780942</x:v>
      </x:c>
    </x:row>
    <x:row r="69">
      <x:c r="A69" s="16" t="n">
        <x:v>65</x:v>
      </x:c>
      <x:c r="B69" s="18" t="n">
        <x:v>5</x:v>
      </x:c>
      <x:c r="C69" s="8" t="str">
        <x:v>30-60s</x:v>
      </x:c>
      <x:c r="D69" s="16" t="n">
        <x:v>5920</x:v>
      </x:c>
      <x:c r="E69" s="16" t="n">
        <x:v>1816</x:v>
      </x:c>
      <x:c r="F69" s="18" t="n">
        <x:v>0</x:v>
      </x:c>
      <x:c r="G69" s="18" t="n">
        <x:v>20889.833333333332</x:v>
      </x:c>
      <x:c r="H69" s="18" t="n">
        <x:v>27575.916666666668</x:v>
      </x:c>
      <x:c r="I69" s="18" t="n">
        <x:v>0.30675675675675673</x:v>
      </x:c>
    </x:row>
    <x:row r="70">
      <x:c r="A70" s="16" t="n">
        <x:v>65</x:v>
      </x:c>
      <x:c r="B70" s="18" t="n">
        <x:v>5</x:v>
      </x:c>
      <x:c r="C70" s="8" t="str">
        <x:v>&lt;30s</x:v>
      </x:c>
      <x:c r="D70" s="16" t="n">
        <x:v>17008</x:v>
      </x:c>
      <x:c r="E70" s="16" t="n">
        <x:v>3670</x:v>
      </x:c>
      <x:c r="F70" s="18" t="n">
        <x:v>0</x:v>
      </x:c>
      <x:c r="G70" s="18" t="n">
        <x:v>31157.833333333332</x:v>
      </x:c>
      <x:c r="H70" s="18" t="n">
        <x:v>36094</x:v>
      </x:c>
      <x:c r="I70" s="18" t="n">
        <x:v>0.2157808090310442</x:v>
      </x:c>
    </x:row>
    <x:row r="71">
      <x:c r="A71" s="16" t="n">
        <x:v>65</x:v>
      </x:c>
      <x:c r="B71" s="18" t="n">
        <x:v>5</x:v>
      </x:c>
      <x:c r="C71" s="8" t="str">
        <x:v>&gt;5min</x:v>
      </x:c>
      <x:c r="D71" s="16" t="n">
        <x:v>1818</x:v>
      </x:c>
      <x:c r="E71" s="16" t="n">
        <x:v>1818</x:v>
      </x:c>
      <x:c r="F71" s="18" t="n">
        <x:v>1.5</x:v>
      </x:c>
      <x:c r="G71" s="18" t="n">
        <x:v>0</x:v>
      </x:c>
      <x:c r="H71" s="18" t="n">
        <x:v>105813</x:v>
      </x:c>
      <x:c r="I71" s="18" t="n">
        <x:v>1</x:v>
      </x:c>
    </x:row>
    <x:row r="72">
      <x:c r="A72" s="16" t="n">
        <x:v>65</x:v>
      </x:c>
      <x:c r="B72" s="18" t="n">
        <x:v>10</x:v>
      </x:c>
      <x:c r="C72" s="8" t="str">
        <x:v>1-3min</x:v>
      </x:c>
      <x:c r="D72" s="16" t="n">
        <x:v>5438</x:v>
      </x:c>
      <x:c r="E72" s="16" t="n">
        <x:v>1884</x:v>
      </x:c>
      <x:c r="F72" s="18" t="n">
        <x:v>0</x:v>
      </x:c>
      <x:c r="G72" s="18" t="n">
        <x:v>34244.666666666664</x:v>
      </x:c>
      <x:c r="H72" s="18" t="n">
        <x:v>51869.666666666664</x:v>
      </x:c>
      <x:c r="I72" s="18" t="n">
        <x:v>0.3464509010665686</x:v>
      </x:c>
    </x:row>
    <x:row r="73">
      <x:c r="A73" s="16" t="n">
        <x:v>65</x:v>
      </x:c>
      <x:c r="B73" s="18" t="n">
        <x:v>10</x:v>
      </x:c>
      <x:c r="C73" s="8" t="str">
        <x:v>3-5min</x:v>
      </x:c>
      <x:c r="D73" s="16" t="n">
        <x:v>1931</x:v>
      </x:c>
      <x:c r="E73" s="16" t="n">
        <x:v>999</x:v>
      </x:c>
      <x:c r="F73" s="18" t="n">
        <x:v>0.3333333333333333</x:v>
      </x:c>
      <x:c r="G73" s="18" t="n">
        <x:v>19574.333333333332</x:v>
      </x:c>
      <x:c r="H73" s="18" t="n">
        <x:v>40869.25</x:v>
      </x:c>
      <x:c r="I73" s="18" t="n">
        <x:v>0.5173485240807871</x:v>
      </x:c>
    </x:row>
    <x:row r="74">
      <x:c r="A74" s="16" t="n">
        <x:v>65</x:v>
      </x:c>
      <x:c r="B74" s="18" t="n">
        <x:v>10</x:v>
      </x:c>
      <x:c r="C74" s="8" t="str">
        <x:v>30-60s</x:v>
      </x:c>
      <x:c r="D74" s="16" t="n">
        <x:v>5920</x:v>
      </x:c>
      <x:c r="E74" s="16" t="n">
        <x:v>1416</x:v>
      </x:c>
      <x:c r="F74" s="18" t="n">
        <x:v>0</x:v>
      </x:c>
      <x:c r="G74" s="18" t="n">
        <x:v>22858.833333333332</x:v>
      </x:c>
      <x:c r="H74" s="18" t="n">
        <x:v>27575.916666666668</x:v>
      </x:c>
      <x:c r="I74" s="18" t="n">
        <x:v>0.2391891891891892</x:v>
      </x:c>
    </x:row>
    <x:row r="75">
      <x:c r="A75" s="16" t="n">
        <x:v>65</x:v>
      </x:c>
      <x:c r="B75" s="18" t="n">
        <x:v>10</x:v>
      </x:c>
      <x:c r="C75" s="8" t="str">
        <x:v>&lt;30s</x:v>
      </x:c>
      <x:c r="D75" s="16" t="n">
        <x:v>17008</x:v>
      </x:c>
      <x:c r="E75" s="16" t="n">
        <x:v>3064</x:v>
      </x:c>
      <x:c r="F75" s="18" t="n">
        <x:v>0</x:v>
      </x:c>
      <x:c r="G75" s="18" t="n">
        <x:v>32660.166666666668</x:v>
      </x:c>
      <x:c r="H75" s="18" t="n">
        <x:v>36094</x:v>
      </x:c>
      <x:c r="I75" s="18" t="n">
        <x:v>0.1801505174035748</x:v>
      </x:c>
    </x:row>
    <x:row r="76">
      <x:c r="A76" s="16" t="n">
        <x:v>65</x:v>
      </x:c>
      <x:c r="B76" s="18" t="n">
        <x:v>10</x:v>
      </x:c>
      <x:c r="C76" s="8" t="str">
        <x:v>&gt;5min</x:v>
      </x:c>
      <x:c r="D76" s="16" t="n">
        <x:v>1818</x:v>
      </x:c>
      <x:c r="E76" s="16" t="n">
        <x:v>1468</x:v>
      </x:c>
      <x:c r="F76" s="18" t="n">
        <x:v>1.8333333333333333</x:v>
      </x:c>
      <x:c r="G76" s="18" t="n">
        <x:v>12902.416666666666</x:v>
      </x:c>
      <x:c r="H76" s="18" t="n">
        <x:v>105813</x:v>
      </x:c>
      <x:c r="I76" s="18" t="n">
        <x:v>0.8074807480748075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20" hidden="0" customWidth="1"/>
    <x:col min="4" max="4" width="20" hidden="0" customWidth="1"/>
    <x:col min="5" max="5" width="20" hidden="0" customWidth="1"/>
    <x:col min="6" max="6" width="28" hidden="0" customWidth="1"/>
    <x:col min="7" max="7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reference_episodes</x:v>
      </x:c>
      <x:c r="D1" s="14" t="str">
        <x:v>detected_episodes</x:v>
      </x:c>
      <x:c r="E1" s="14" t="str">
        <x:v>missed_episodes</x:v>
      </x:c>
      <x:c r="F1" s="14" t="str">
        <x:v>median_detection_delay_min</x:v>
      </x:c>
      <x:c r="G1" s="14" t="str">
        <x:v>episode_sensitivity</x:v>
      </x:c>
    </x:row>
    <x:row r="2">
      <x:c r="A2" s="16" t="n">
        <x:v>55</x:v>
      </x:c>
      <x:c r="B2" s="18" t="n">
        <x:v>1</x:v>
      </x:c>
      <x:c r="C2" s="16" t="n">
        <x:v>1407</x:v>
      </x:c>
      <x:c r="D2" s="18" t="n">
        <x:v>1407</x:v>
      </x:c>
      <x:c r="E2" s="18" t="n">
        <x:v>0</x:v>
      </x:c>
      <x:c r="F2" s="18" t="n">
        <x:v>0.4166666666666667</x:v>
      </x:c>
      <x:c r="G2" s="18" t="n">
        <x:v>1</x:v>
      </x:c>
    </x:row>
    <x:row r="3">
      <x:c r="A3" s="16" t="n">
        <x:v>55</x:v>
      </x:c>
      <x:c r="B3" s="18" t="n">
        <x:v>2.5</x:v>
      </x:c>
      <x:c r="C3" s="16" t="n">
        <x:v>1407</x:v>
      </x:c>
      <x:c r="D3" s="18" t="n">
        <x:v>1057.9333333333334</x:v>
      </x:c>
      <x:c r="E3" s="18" t="n">
        <x:v>349.06666666666666</x:v>
      </x:c>
      <x:c r="F3" s="18" t="n">
        <x:v>0.6666666666666666</x:v>
      </x:c>
      <x:c r="G3" s="18" t="n">
        <x:v>0.7519071310116087</x:v>
      </x:c>
    </x:row>
    <x:row r="4">
      <x:c r="A4" s="16" t="n">
        <x:v>55</x:v>
      </x:c>
      <x:c r="B4" s="18" t="n">
        <x:v>3</x:v>
      </x:c>
      <x:c r="C4" s="16" t="n">
        <x:v>1407</x:v>
      </x:c>
      <x:c r="D4" s="18" t="n">
        <x:v>961.8333333333334</x:v>
      </x:c>
      <x:c r="E4" s="18" t="n">
        <x:v>445.1666666666667</x:v>
      </x:c>
      <x:c r="F4" s="18" t="n">
        <x:v>0.6888819513819513</x:v>
      </x:c>
      <x:c r="G4" s="18" t="n">
        <x:v>0.683605780620706</x:v>
      </x:c>
    </x:row>
    <x:row r="5">
      <x:c r="A5" s="16" t="n">
        <x:v>55</x:v>
      </x:c>
      <x:c r="B5" s="18" t="n">
        <x:v>5</x:v>
      </x:c>
      <x:c r="C5" s="16" t="n">
        <x:v>1407</x:v>
      </x:c>
      <x:c r="D5" s="18" t="n">
        <x:v>704.5666666666667</x:v>
      </x:c>
      <x:c r="E5" s="18" t="n">
        <x:v>702.4333333333333</x:v>
      </x:c>
      <x:c r="F5" s="18" t="n">
        <x:v>0.6899350649350648</x:v>
      </x:c>
      <x:c r="G5" s="18" t="n">
        <x:v>0.5007581141909501</x:v>
      </x:c>
    </x:row>
    <x:row r="6">
      <x:c r="A6" s="16" t="n">
        <x:v>55</x:v>
      </x:c>
      <x:c r="B6" s="18" t="n">
        <x:v>10</x:v>
      </x:c>
      <x:c r="C6" s="16" t="n">
        <x:v>1407</x:v>
      </x:c>
      <x:c r="D6" s="18" t="n">
        <x:v>440.01666666666665</x:v>
      </x:c>
      <x:c r="E6" s="18" t="n">
        <x:v>966.9833333333333</x:v>
      </x:c>
      <x:c r="F6" s="18" t="n">
        <x:v>0.6754629629629629</x:v>
      </x:c>
      <x:c r="G6" s="18" t="n">
        <x:v>0.3127339493011135</x:v>
      </x:c>
    </x:row>
    <x:row r="7">
      <x:c r="A7" s="16" t="n">
        <x:v>60</x:v>
      </x:c>
      <x:c r="B7" s="18" t="n">
        <x:v>1</x:v>
      </x:c>
      <x:c r="C7" s="16" t="n">
        <x:v>3905</x:v>
      </x:c>
      <x:c r="D7" s="18" t="n">
        <x:v>3905</x:v>
      </x:c>
      <x:c r="E7" s="18" t="n">
        <x:v>0</x:v>
      </x:c>
      <x:c r="F7" s="18" t="n">
        <x:v>0.39444444444444443</x:v>
      </x:c>
      <x:c r="G7" s="18" t="n">
        <x:v>1</x:v>
      </x:c>
    </x:row>
    <x:row r="8">
      <x:c r="A8" s="16" t="n">
        <x:v>60</x:v>
      </x:c>
      <x:c r="B8" s="18" t="n">
        <x:v>2.5</x:v>
      </x:c>
      <x:c r="C8" s="16" t="n">
        <x:v>3905</x:v>
      </x:c>
      <x:c r="D8" s="18" t="n">
        <x:v>3110.4</x:v>
      </x:c>
      <x:c r="E8" s="18" t="n">
        <x:v>794.6</x:v>
      </x:c>
      <x:c r="F8" s="18" t="n">
        <x:v>0.75</x:v>
      </x:c>
      <x:c r="G8" s="18" t="n">
        <x:v>0.79651728553137</x:v>
      </x:c>
    </x:row>
    <x:row r="9">
      <x:c r="A9" s="16" t="n">
        <x:v>60</x:v>
      </x:c>
      <x:c r="B9" s="18" t="n">
        <x:v>3</x:v>
      </x:c>
      <x:c r="C9" s="16" t="n">
        <x:v>3905</x:v>
      </x:c>
      <x:c r="D9" s="18" t="n">
        <x:v>2876.9444444444443</x:v>
      </x:c>
      <x:c r="E9" s="18" t="n">
        <x:v>1028.0555555555557</x:v>
      </x:c>
      <x:c r="F9" s="18" t="n">
        <x:v>0.8125</x:v>
      </x:c>
      <x:c r="G9" s="18" t="n">
        <x:v>0.7367335325081804</x:v>
      </x:c>
    </x:row>
    <x:row r="10">
      <x:c r="A10" s="16" t="n">
        <x:v>60</x:v>
      </x:c>
      <x:c r="B10" s="18" t="n">
        <x:v>5</x:v>
      </x:c>
      <x:c r="C10" s="16" t="n">
        <x:v>3905</x:v>
      </x:c>
      <x:c r="D10" s="18" t="n">
        <x:v>2206.8333333333335</x:v>
      </x:c>
      <x:c r="E10" s="18" t="n">
        <x:v>1698.1666666666667</x:v>
      </x:c>
      <x:c r="F10" s="18" t="n">
        <x:v>0.8666666666666667</x:v>
      </x:c>
      <x:c r="G10" s="18" t="n">
        <x:v>0.5651301749893299</x:v>
      </x:c>
    </x:row>
    <x:row r="11">
      <x:c r="A11" s="16" t="n">
        <x:v>60</x:v>
      </x:c>
      <x:c r="B11" s="18" t="n">
        <x:v>10</x:v>
      </x:c>
      <x:c r="C11" s="16" t="n">
        <x:v>3905</x:v>
      </x:c>
      <x:c r="D11" s="18" t="n">
        <x:v>1459.3166666666666</x:v>
      </x:c>
      <x:c r="E11" s="18" t="n">
        <x:v>2445.6833333333334</x:v>
      </x:c>
      <x:c r="F11" s="18" t="n">
        <x:v>0.8333333333333333</x:v>
      </x:c>
      <x:c r="G11" s="18" t="n">
        <x:v>0.37370465215535636</x:v>
      </x:c>
    </x:row>
    <x:row r="12">
      <x:c r="A12" s="16" t="n">
        <x:v>65</x:v>
      </x:c>
      <x:c r="B12" s="18" t="n">
        <x:v>1</x:v>
      </x:c>
      <x:c r="C12" s="16" t="n">
        <x:v>9187</x:v>
      </x:c>
      <x:c r="D12" s="18" t="n">
        <x:v>9187</x:v>
      </x:c>
      <x:c r="E12" s="18" t="n">
        <x:v>0</x:v>
      </x:c>
      <x:c r="F12" s="18" t="n">
        <x:v>0.3650793650793651</x:v>
      </x:c>
      <x:c r="G12" s="18" t="n">
        <x:v>1</x:v>
      </x:c>
    </x:row>
    <x:row r="13">
      <x:c r="A13" s="16" t="n">
        <x:v>65</x:v>
      </x:c>
      <x:c r="B13" s="18" t="n">
        <x:v>2.5</x:v>
      </x:c>
      <x:c r="C13" s="16" t="n">
        <x:v>9187</x:v>
      </x:c>
      <x:c r="D13" s="18" t="n">
        <x:v>7800.466666666666</x:v>
      </x:c>
      <x:c r="E13" s="18" t="n">
        <x:v>1386.5333333333333</x:v>
      </x:c>
      <x:c r="F13" s="18" t="n">
        <x:v>0.7777777777777778</x:v>
      </x:c>
      <x:c r="G13" s="18" t="n">
        <x:v>0.8490765937375276</x:v>
      </x:c>
    </x:row>
    <x:row r="14">
      <x:c r="A14" s="16" t="n">
        <x:v>65</x:v>
      </x:c>
      <x:c r="B14" s="18" t="n">
        <x:v>3</x:v>
      </x:c>
      <x:c r="C14" s="16" t="n">
        <x:v>9187</x:v>
      </x:c>
      <x:c r="D14" s="18" t="n">
        <x:v>7372.111111111111</x:v>
      </x:c>
      <x:c r="E14" s="18" t="n">
        <x:v>1814.888888888889</x:v>
      </x:c>
      <x:c r="F14" s="18" t="n">
        <x:v>0.869047619047619</x:v>
      </x:c>
      <x:c r="G14" s="18" t="n">
        <x:v>0.802450322315349</x:v>
      </x:c>
    </x:row>
    <x:row r="15">
      <x:c r="A15" s="16" t="n">
        <x:v>65</x:v>
      </x:c>
      <x:c r="B15" s="18" t="n">
        <x:v>5</x:v>
      </x:c>
      <x:c r="C15" s="16" t="n">
        <x:v>9187</x:v>
      </x:c>
      <x:c r="D15" s="18" t="n">
        <x:v>6042.866666666667</x:v>
      </x:c>
      <x:c r="E15" s="18" t="n">
        <x:v>3144.133333333333</x:v>
      </x:c>
      <x:c r="F15" s="18" t="n">
        <x:v>1.0833333333333333</x:v>
      </x:c>
      <x:c r="G15" s="18" t="n">
        <x:v>0.657762780740902</x:v>
      </x:c>
    </x:row>
    <x:row r="16">
      <x:c r="A16" s="16" t="n">
        <x:v>65</x:v>
      </x:c>
      <x:c r="B16" s="18" t="n">
        <x:v>10</x:v>
      </x:c>
      <x:c r="C16" s="16" t="n">
        <x:v>9187</x:v>
      </x:c>
      <x:c r="D16" s="18" t="n">
        <x:v>4343.733333333334</x:v>
      </x:c>
      <x:c r="E16" s="18" t="n">
        <x:v>4843.266666666666</x:v>
      </x:c>
      <x:c r="F16" s="18" t="n">
        <x:v>1.1363425925925925</x:v>
      </x:c>
      <x:c r="G16" s="18" t="n">
        <x:v>0.4728130329088205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20" hidden="0" customWidth="1"/>
    <x:col min="4" max="4" width="20" hidden="0" customWidth="1"/>
    <x:col min="5" max="5" width="20" hidden="0" customWidth="1"/>
    <x:col min="6" max="6" width="28" hidden="0" customWidth="1"/>
    <x:col min="7" max="7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reference_episodes</x:v>
      </x:c>
      <x:c r="D1" s="14" t="str">
        <x:v>detected_episodes</x:v>
      </x:c>
      <x:c r="E1" s="14" t="str">
        <x:v>missed_episodes</x:v>
      </x:c>
      <x:c r="F1" s="14" t="str">
        <x:v>median_detection_delay_min</x:v>
      </x:c>
      <x:c r="G1" s="14" t="str">
        <x:v>episode_sensitivity</x:v>
      </x:c>
    </x:row>
    <x:row r="2">
      <x:c r="A2" s="16" t="n">
        <x:v>55</x:v>
      </x:c>
      <x:c r="B2" s="18" t="n">
        <x:v>1</x:v>
      </x:c>
      <x:c r="C2" s="16" t="n">
        <x:v>1407</x:v>
      </x:c>
      <x:c r="D2" s="18" t="n">
        <x:v>1407</x:v>
      </x:c>
      <x:c r="E2" s="18" t="n">
        <x:v>0</x:v>
      </x:c>
      <x:c r="F2" s="18" t="n">
        <x:v>0.4166666666666667</x:v>
      </x:c>
      <x:c r="G2" s="18" t="n">
        <x:v>1</x:v>
      </x:c>
    </x:row>
    <x:row r="3">
      <x:c r="A3" s="16" t="n">
        <x:v>55</x:v>
      </x:c>
      <x:c r="B3" s="18" t="n">
        <x:v>2.5</x:v>
      </x:c>
      <x:c r="C3" s="16" t="n">
        <x:v>1407</x:v>
      </x:c>
      <x:c r="D3" s="18" t="n">
        <x:v>1057.9333333333334</x:v>
      </x:c>
      <x:c r="E3" s="18" t="n">
        <x:v>349.06666666666666</x:v>
      </x:c>
      <x:c r="F3" s="18" t="n">
        <x:v>0.6666666666666666</x:v>
      </x:c>
      <x:c r="G3" s="18" t="n">
        <x:v>0.7519071310116087</x:v>
      </x:c>
    </x:row>
    <x:row r="4">
      <x:c r="A4" s="16" t="n">
        <x:v>55</x:v>
      </x:c>
      <x:c r="B4" s="18" t="n">
        <x:v>3</x:v>
      </x:c>
      <x:c r="C4" s="16" t="n">
        <x:v>1407</x:v>
      </x:c>
      <x:c r="D4" s="18" t="n">
        <x:v>961.8333333333334</x:v>
      </x:c>
      <x:c r="E4" s="18" t="n">
        <x:v>445.1666666666667</x:v>
      </x:c>
      <x:c r="F4" s="18" t="n">
        <x:v>0.6888819513819513</x:v>
      </x:c>
      <x:c r="G4" s="18" t="n">
        <x:v>0.683605780620706</x:v>
      </x:c>
    </x:row>
    <x:row r="5">
      <x:c r="A5" s="16" t="n">
        <x:v>55</x:v>
      </x:c>
      <x:c r="B5" s="18" t="n">
        <x:v>5</x:v>
      </x:c>
      <x:c r="C5" s="16" t="n">
        <x:v>1407</x:v>
      </x:c>
      <x:c r="D5" s="18" t="n">
        <x:v>704.5666666666667</x:v>
      </x:c>
      <x:c r="E5" s="18" t="n">
        <x:v>702.4333333333333</x:v>
      </x:c>
      <x:c r="F5" s="18" t="n">
        <x:v>0.6899350649350648</x:v>
      </x:c>
      <x:c r="G5" s="18" t="n">
        <x:v>0.5007581141909501</x:v>
      </x:c>
    </x:row>
    <x:row r="6">
      <x:c r="A6" s="16" t="n">
        <x:v>55</x:v>
      </x:c>
      <x:c r="B6" s="18" t="n">
        <x:v>10</x:v>
      </x:c>
      <x:c r="C6" s="16" t="n">
        <x:v>1407</x:v>
      </x:c>
      <x:c r="D6" s="18" t="n">
        <x:v>440.01666666666665</x:v>
      </x:c>
      <x:c r="E6" s="18" t="n">
        <x:v>966.9833333333333</x:v>
      </x:c>
      <x:c r="F6" s="18" t="n">
        <x:v>0.6754629629629629</x:v>
      </x:c>
      <x:c r="G6" s="18" t="n">
        <x:v>0.3127339493011135</x:v>
      </x:c>
    </x:row>
    <x:row r="7">
      <x:c r="A7" s="16" t="n">
        <x:v>60</x:v>
      </x:c>
      <x:c r="B7" s="18" t="n">
        <x:v>1</x:v>
      </x:c>
      <x:c r="C7" s="16" t="n">
        <x:v>3905</x:v>
      </x:c>
      <x:c r="D7" s="18" t="n">
        <x:v>3905</x:v>
      </x:c>
      <x:c r="E7" s="18" t="n">
        <x:v>0</x:v>
      </x:c>
      <x:c r="F7" s="18" t="n">
        <x:v>0.39444444444444443</x:v>
      </x:c>
      <x:c r="G7" s="18" t="n">
        <x:v>1</x:v>
      </x:c>
    </x:row>
    <x:row r="8">
      <x:c r="A8" s="16" t="n">
        <x:v>60</x:v>
      </x:c>
      <x:c r="B8" s="18" t="n">
        <x:v>2.5</x:v>
      </x:c>
      <x:c r="C8" s="16" t="n">
        <x:v>3905</x:v>
      </x:c>
      <x:c r="D8" s="18" t="n">
        <x:v>3110.4</x:v>
      </x:c>
      <x:c r="E8" s="18" t="n">
        <x:v>794.6</x:v>
      </x:c>
      <x:c r="F8" s="18" t="n">
        <x:v>0.75</x:v>
      </x:c>
      <x:c r="G8" s="18" t="n">
        <x:v>0.79651728553137</x:v>
      </x:c>
    </x:row>
    <x:row r="9">
      <x:c r="A9" s="16" t="n">
        <x:v>60</x:v>
      </x:c>
      <x:c r="B9" s="18" t="n">
        <x:v>3</x:v>
      </x:c>
      <x:c r="C9" s="16" t="n">
        <x:v>3905</x:v>
      </x:c>
      <x:c r="D9" s="18" t="n">
        <x:v>2876.9444444444443</x:v>
      </x:c>
      <x:c r="E9" s="18" t="n">
        <x:v>1028.0555555555557</x:v>
      </x:c>
      <x:c r="F9" s="18" t="n">
        <x:v>0.8125</x:v>
      </x:c>
      <x:c r="G9" s="18" t="n">
        <x:v>0.7367335325081804</x:v>
      </x:c>
    </x:row>
    <x:row r="10">
      <x:c r="A10" s="16" t="n">
        <x:v>60</x:v>
      </x:c>
      <x:c r="B10" s="18" t="n">
        <x:v>5</x:v>
      </x:c>
      <x:c r="C10" s="16" t="n">
        <x:v>3905</x:v>
      </x:c>
      <x:c r="D10" s="18" t="n">
        <x:v>2206.8333333333335</x:v>
      </x:c>
      <x:c r="E10" s="18" t="n">
        <x:v>1698.1666666666667</x:v>
      </x:c>
      <x:c r="F10" s="18" t="n">
        <x:v>0.8666666666666667</x:v>
      </x:c>
      <x:c r="G10" s="18" t="n">
        <x:v>0.5651301749893299</x:v>
      </x:c>
    </x:row>
    <x:row r="11">
      <x:c r="A11" s="16" t="n">
        <x:v>60</x:v>
      </x:c>
      <x:c r="B11" s="18" t="n">
        <x:v>10</x:v>
      </x:c>
      <x:c r="C11" s="16" t="n">
        <x:v>3905</x:v>
      </x:c>
      <x:c r="D11" s="18" t="n">
        <x:v>1459.3166666666666</x:v>
      </x:c>
      <x:c r="E11" s="18" t="n">
        <x:v>2445.6833333333334</x:v>
      </x:c>
      <x:c r="F11" s="18" t="n">
        <x:v>0.8333333333333333</x:v>
      </x:c>
      <x:c r="G11" s="18" t="n">
        <x:v>0.37370465215535636</x:v>
      </x:c>
    </x:row>
    <x:row r="12">
      <x:c r="A12" s="16" t="n">
        <x:v>65</x:v>
      </x:c>
      <x:c r="B12" s="18" t="n">
        <x:v>1</x:v>
      </x:c>
      <x:c r="C12" s="16" t="n">
        <x:v>9187</x:v>
      </x:c>
      <x:c r="D12" s="18" t="n">
        <x:v>9187</x:v>
      </x:c>
      <x:c r="E12" s="18" t="n">
        <x:v>0</x:v>
      </x:c>
      <x:c r="F12" s="18" t="n">
        <x:v>0.3650793650793651</x:v>
      </x:c>
      <x:c r="G12" s="18" t="n">
        <x:v>1</x:v>
      </x:c>
    </x:row>
    <x:row r="13">
      <x:c r="A13" s="16" t="n">
        <x:v>65</x:v>
      </x:c>
      <x:c r="B13" s="18" t="n">
        <x:v>2.5</x:v>
      </x:c>
      <x:c r="C13" s="16" t="n">
        <x:v>9187</x:v>
      </x:c>
      <x:c r="D13" s="18" t="n">
        <x:v>7800.466666666666</x:v>
      </x:c>
      <x:c r="E13" s="18" t="n">
        <x:v>1386.5333333333333</x:v>
      </x:c>
      <x:c r="F13" s="18" t="n">
        <x:v>0.7777777777777778</x:v>
      </x:c>
      <x:c r="G13" s="18" t="n">
        <x:v>0.8490765937375276</x:v>
      </x:c>
    </x:row>
    <x:row r="14">
      <x:c r="A14" s="16" t="n">
        <x:v>65</x:v>
      </x:c>
      <x:c r="B14" s="18" t="n">
        <x:v>3</x:v>
      </x:c>
      <x:c r="C14" s="16" t="n">
        <x:v>9187</x:v>
      </x:c>
      <x:c r="D14" s="18" t="n">
        <x:v>7372.111111111111</x:v>
      </x:c>
      <x:c r="E14" s="18" t="n">
        <x:v>1814.888888888889</x:v>
      </x:c>
      <x:c r="F14" s="18" t="n">
        <x:v>0.869047619047619</x:v>
      </x:c>
      <x:c r="G14" s="18" t="n">
        <x:v>0.802450322315349</x:v>
      </x:c>
    </x:row>
    <x:row r="15">
      <x:c r="A15" s="16" t="n">
        <x:v>65</x:v>
      </x:c>
      <x:c r="B15" s="18" t="n">
        <x:v>5</x:v>
      </x:c>
      <x:c r="C15" s="16" t="n">
        <x:v>9187</x:v>
      </x:c>
      <x:c r="D15" s="18" t="n">
        <x:v>6042.866666666667</x:v>
      </x:c>
      <x:c r="E15" s="18" t="n">
        <x:v>3144.133333333333</x:v>
      </x:c>
      <x:c r="F15" s="18" t="n">
        <x:v>1.0833333333333333</x:v>
      </x:c>
      <x:c r="G15" s="18" t="n">
        <x:v>0.657762780740902</x:v>
      </x:c>
    </x:row>
    <x:row r="16">
      <x:c r="A16" s="16" t="n">
        <x:v>65</x:v>
      </x:c>
      <x:c r="B16" s="18" t="n">
        <x:v>10</x:v>
      </x:c>
      <x:c r="C16" s="16" t="n">
        <x:v>9187</x:v>
      </x:c>
      <x:c r="D16" s="18" t="n">
        <x:v>4343.733333333334</x:v>
      </x:c>
      <x:c r="E16" s="18" t="n">
        <x:v>4843.266666666666</x:v>
      </x:c>
      <x:c r="F16" s="18" t="n">
        <x:v>1.1363425925925925</x:v>
      </x:c>
      <x:c r="G16" s="18" t="n">
        <x:v>0.4728130329088205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20" hidden="0" customWidth="1"/>
  </x:cols>
  <x:sheetData>
    <x:row r="1" ht="32" customHeight="1">
      <x:c r="A1" s="14" t="str">
        <x:v>minute</x:v>
      </x:c>
      <x:c r="B1" s="14" t="str">
        <x:v>arterial_reference_map</x:v>
      </x:c>
      <x:c r="C1" s="14" t="str">
        <x:v>displayed_map</x:v>
      </x:c>
    </x:row>
    <x:row r="2">
      <x:c r="A2" s="16" t="n">
        <x:v>0</x:v>
      </x:c>
      <x:c r="B2" s="18" t="n">
        <x:v>71.99271638695213</x:v>
      </x:c>
      <x:c r="C2" s="18" t="n">
        <x:v>71.99271638695213</x:v>
      </x:c>
    </x:row>
    <x:row r="3">
      <x:c r="A3" s="16" t="n">
        <x:v>1</x:v>
      </x:c>
      <x:c r="B3" s="18" t="n">
        <x:v>71.98656145544922</x:v>
      </x:c>
      <x:c r="C3" s="18" t="n">
        <x:v>71.96991650036499</x:v>
      </x:c>
    </x:row>
    <x:row r="4">
      <x:c r="A4" s="16" t="n">
        <x:v>2</x:v>
      </x:c>
      <x:c r="B4" s="18" t="n">
        <x:v>71.97581755306109</x:v>
      </x:c>
      <x:c r="C4" s="18" t="n">
        <x:v>71.94711661377787</x:v>
      </x:c>
    </x:row>
    <x:row r="5">
      <x:c r="A5" s="16" t="n">
        <x:v>3</x:v>
      </x:c>
      <x:c r="B5" s="18" t="n">
        <x:v>71.95755848388318</x:v>
      </x:c>
      <x:c r="C5" s="18" t="n">
        <x:v>71.92431672719073</x:v>
      </x:c>
    </x:row>
    <x:row r="6">
      <x:c r="A6" s="16" t="n">
        <x:v>4</x:v>
      </x:c>
      <x:c r="B6" s="18" t="n">
        <x:v>71.92735191453025</x:v>
      </x:c>
      <x:c r="C6" s="18" t="n">
        <x:v>71.9015168406036</x:v>
      </x:c>
    </x:row>
    <x:row r="7">
      <x:c r="A7" s="16" t="n">
        <x:v>5</x:v>
      </x:c>
      <x:c r="B7" s="18" t="n">
        <x:v>71.87871695401647</x:v>
      </x:c>
      <x:c r="C7" s="18" t="n">
        <x:v>71.87871695401647</x:v>
      </x:c>
    </x:row>
    <x:row r="8">
      <x:c r="A8" s="16" t="n">
        <x:v>6</x:v>
      </x:c>
      <x:c r="B8" s="18" t="n">
        <x:v>71.80252202939523</x:v>
      </x:c>
      <x:c r="C8" s="18" t="n">
        <x:v>71.68677675879006</x:v>
      </x:c>
    </x:row>
    <x:row r="9">
      <x:c r="A9" s="16" t="n">
        <x:v>7</x:v>
      </x:c>
      <x:c r="B9" s="18" t="n">
        <x:v>71.68639725648912</x:v>
      </x:c>
      <x:c r="C9" s="18" t="n">
        <x:v>71.49483656356367</x:v>
      </x:c>
    </x:row>
    <x:row r="10">
      <x:c r="A10" s="16" t="n">
        <x:v>8</x:v>
      </x:c>
      <x:c r="B10" s="18" t="n">
        <x:v>71.51428256911555</x:v>
      </x:c>
      <x:c r="C10" s="18" t="n">
        <x:v>71.30289636833726</x:v>
      </x:c>
    </x:row>
    <x:row r="11">
      <x:c r="A11" s="16" t="n">
        <x:v>9</x:v>
      </x:c>
      <x:c r="B11" s="18" t="n">
        <x:v>71.26628032838941</x:v>
      </x:c>
      <x:c r="C11" s="18" t="n">
        <x:v>71.11095617311086</x:v>
      </x:c>
    </x:row>
    <x:row r="12">
      <x:c r="A12" s="16" t="n">
        <x:v>10</x:v>
      </x:c>
      <x:c r="B12" s="18" t="n">
        <x:v>70.91901597788446</x:v>
      </x:c>
      <x:c r="C12" s="18" t="n">
        <x:v>70.91901597788446</x:v>
      </x:c>
    </x:row>
    <x:row r="13">
      <x:c r="A13" s="16" t="n">
        <x:v>11</x:v>
      </x:c>
      <x:c r="B13" s="18" t="n">
        <x:v>70.44671544301133</x:v>
      </x:c>
      <x:c r="C13" s="18" t="n">
        <x:v>70.10379551361088</x:v>
      </x:c>
    </x:row>
    <x:row r="14">
      <x:c r="A14" s="16" t="n">
        <x:v>12</x:v>
      </x:c>
      <x:c r="B14" s="18" t="n">
        <x:v>69.8231654987325</x:v>
      </x:c>
      <x:c r="C14" s="18" t="n">
        <x:v>69.2885750493373</x:v>
      </x:c>
    </x:row>
    <x:row r="15">
      <x:c r="A15" s="16" t="n">
        <x:v>13</x:v>
      </x:c>
      <x:c r="B15" s="18" t="n">
        <x:v>69.02462001201144</x:v>
      </x:c>
      <x:c r="C15" s="18" t="n">
        <x:v>68.47335458506373</x:v>
      </x:c>
    </x:row>
    <x:row r="16">
      <x:c r="A16" s="16" t="n">
        <x:v>14</x:v>
      </x:c>
      <x:c r="B16" s="18" t="n">
        <x:v>68.0335489299018</x:v>
      </x:c>
      <x:c r="C16" s="18" t="n">
        <x:v>67.65813412079015</x:v>
      </x:c>
    </x:row>
    <x:row r="17">
      <x:c r="A17" s="16" t="n">
        <x:v>15</x:v>
      </x:c>
      <x:c r="B17" s="18" t="n">
        <x:v>66.84291365651657</x:v>
      </x:c>
      <x:c r="C17" s="18" t="n">
        <x:v>66.84291365651657</x:v>
      </x:c>
    </x:row>
    <x:row r="18">
      <x:c r="A18" s="16" t="n">
        <x:v>16</x:v>
      </x:c>
      <x:c r="B18" s="18" t="n">
        <x:v>65.4604277515378</x:v>
      </x:c>
      <x:c r="C18" s="18" t="n">
        <x:v>65.24051466100535</x:v>
      </x:c>
    </x:row>
    <x:row r="19">
      <x:c r="A19" s="16" t="n">
        <x:v>17</x:v>
      </x:c>
      <x:c r="B19" s="18" t="n">
        <x:v>63.91207864589001</x:v>
      </x:c>
      <x:c r="C19" s="18" t="n">
        <x:v>63.63811566549412</x:v>
      </x:c>
    </x:row>
    <x:row r="20">
      <x:c r="A20" s="16" t="n">
        <x:v>18</x:v>
      </x:c>
      <x:c r="B20" s="18" t="n">
        <x:v>62.244104607734634</x:v>
      </x:c>
      <x:c r="C20" s="18" t="n">
        <x:v>62.0357166699829</x:v>
      </x:c>
    </x:row>
    <x:row r="21">
      <x:c r="A21" s="16" t="n">
        <x:v>19</x:v>
      </x:c>
      <x:c r="B21" s="18" t="n">
        <x:v>60.52269327080808</x:v>
      </x:c>
      <x:c r="C21" s="18" t="n">
        <x:v>60.43331767447167</x:v>
      </x:c>
    </x:row>
    <x:row r="22">
      <x:c r="A22" s="16" t="n">
        <x:v>20</x:v>
      </x:c>
      <x:c r="B22" s="18" t="n">
        <x:v>58.830918678960444</x:v>
      </x:c>
      <x:c r="C22" s="18" t="n">
        <x:v>58.830918678960444</x:v>
      </x:c>
    </x:row>
    <x:row r="23">
      <x:c r="A23" s="16" t="n">
        <x:v>21</x:v>
      </x:c>
      <x:c r="B23" s="18" t="n">
        <x:v>57.26284644459633</x:v>
      </x:c>
      <x:c r="C23" s="18" t="n">
        <x:v>57.86473494316836</x:v>
      </x:c>
    </x:row>
    <x:row r="24">
      <x:c r="A24" s="16" t="n">
        <x:v>22</x:v>
      </x:c>
      <x:c r="B24" s="18" t="n">
        <x:v>55.91524775204672</x:v>
      </x:c>
      <x:c r="C24" s="18" t="n">
        <x:v>56.898551207376265</x:v>
      </x:c>
    </x:row>
    <x:row r="25">
      <x:c r="A25" s="16" t="n">
        <x:v>23</x:v>
      </x:c>
      <x:c r="B25" s="18" t="n">
        <x:v>54.87787035898715</x:v>
      </x:c>
      <x:c r="C25" s="18" t="n">
        <x:v>55.93236747158418</x:v>
      </x:c>
    </x:row>
    <x:row r="26">
      <x:c r="A26" s="16" t="n">
        <x:v>24</x:v>
      </x:c>
      <x:c r="B26" s="18" t="n">
        <x:v>54.22359959111013</x:v>
      </x:c>
      <x:c r="C26" s="18" t="n">
        <x:v>54.966183735792086</x:v>
      </x:c>
    </x:row>
    <x:row r="27">
      <x:c r="A27" s="16" t="n">
        <x:v>25</x:v>
      </x:c>
      <x:c r="B27" s="18" t="n">
        <x:v>54</x:v>
      </x:c>
      <x:c r="C27" s="18" t="n">
        <x:v>54</x:v>
      </x:c>
    </x:row>
    <x:row r="28">
      <x:c r="A28" s="16" t="n">
        <x:v>26</x:v>
      </x:c>
      <x:c r="B28" s="18" t="n">
        <x:v>54.22359959111013</x:v>
      </x:c>
      <x:c r="C28" s="18" t="n">
        <x:v>54.966183735792086</x:v>
      </x:c>
    </x:row>
    <x:row r="29">
      <x:c r="A29" s="16" t="n">
        <x:v>27</x:v>
      </x:c>
      <x:c r="B29" s="18" t="n">
        <x:v>54.87787035898715</x:v>
      </x:c>
      <x:c r="C29" s="18" t="n">
        <x:v>55.93236747158418</x:v>
      </x:c>
    </x:row>
    <x:row r="30">
      <x:c r="A30" s="16" t="n">
        <x:v>28</x:v>
      </x:c>
      <x:c r="B30" s="18" t="n">
        <x:v>55.91524775204672</x:v>
      </x:c>
      <x:c r="C30" s="18" t="n">
        <x:v>56.898551207376265</x:v>
      </x:c>
    </x:row>
    <x:row r="31">
      <x:c r="A31" s="16" t="n">
        <x:v>29</x:v>
      </x:c>
      <x:c r="B31" s="18" t="n">
        <x:v>57.26284644459633</x:v>
      </x:c>
      <x:c r="C31" s="18" t="n">
        <x:v>57.86473494316836</x:v>
      </x:c>
    </x:row>
    <x:row r="32">
      <x:c r="A32" s="16" t="n">
        <x:v>30</x:v>
      </x:c>
      <x:c r="B32" s="18" t="n">
        <x:v>58.830918678960444</x:v>
      </x:c>
      <x:c r="C32" s="18" t="n">
        <x:v>58.830918678960444</x:v>
      </x:c>
    </x:row>
    <x:row r="33">
      <x:c r="A33" s="16" t="n">
        <x:v>31</x:v>
      </x:c>
      <x:c r="B33" s="18" t="n">
        <x:v>60.52269327080808</x:v>
      </x:c>
      <x:c r="C33" s="18" t="n">
        <x:v>60.43331767447167</x:v>
      </x:c>
    </x:row>
    <x:row r="34">
      <x:c r="A34" s="16" t="n">
        <x:v>32</x:v>
      </x:c>
      <x:c r="B34" s="18" t="n">
        <x:v>62.244104607734634</x:v>
      </x:c>
      <x:c r="C34" s="18" t="n">
        <x:v>62.0357166699829</x:v>
      </x:c>
    </x:row>
    <x:row r="35">
      <x:c r="A35" s="16" t="n">
        <x:v>33</x:v>
      </x:c>
      <x:c r="B35" s="18" t="n">
        <x:v>63.91207864589001</x:v>
      </x:c>
      <x:c r="C35" s="18" t="n">
        <x:v>63.63811566549412</x:v>
      </x:c>
    </x:row>
    <x:row r="36">
      <x:c r="A36" s="16" t="n">
        <x:v>34</x:v>
      </x:c>
      <x:c r="B36" s="18" t="n">
        <x:v>65.4604277515378</x:v>
      </x:c>
      <x:c r="C36" s="18" t="n">
        <x:v>65.24051466100535</x:v>
      </x:c>
    </x:row>
    <x:row r="37">
      <x:c r="A37" s="16" t="n">
        <x:v>35</x:v>
      </x:c>
      <x:c r="B37" s="18" t="n">
        <x:v>66.84291365651657</x:v>
      </x:c>
      <x:c r="C37" s="18" t="n">
        <x:v>66.84291365651657</x:v>
      </x:c>
    </x:row>
    <x:row r="38">
      <x:c r="A38" s="16" t="n">
        <x:v>36</x:v>
      </x:c>
      <x:c r="B38" s="18" t="n">
        <x:v>68.0335489299018</x:v>
      </x:c>
      <x:c r="C38" s="18" t="n">
        <x:v>67.65813412079015</x:v>
      </x:c>
    </x:row>
    <x:row r="39">
      <x:c r="A39" s="16" t="n">
        <x:v>37</x:v>
      </x:c>
      <x:c r="B39" s="18" t="n">
        <x:v>69.02462001201144</x:v>
      </x:c>
      <x:c r="C39" s="18" t="n">
        <x:v>68.47335458506373</x:v>
      </x:c>
    </x:row>
    <x:row r="40">
      <x:c r="A40" s="16" t="n">
        <x:v>38</x:v>
      </x:c>
      <x:c r="B40" s="18" t="n">
        <x:v>69.8231654987325</x:v>
      </x:c>
      <x:c r="C40" s="18" t="n">
        <x:v>69.2885750493373</x:v>
      </x:c>
    </x:row>
    <x:row r="41">
      <x:c r="A41" s="16" t="n">
        <x:v>39</x:v>
      </x:c>
      <x:c r="B41" s="18" t="n">
        <x:v>70.44671544301133</x:v>
      </x:c>
      <x:c r="C41" s="18" t="n">
        <x:v>70.10379551361088</x:v>
      </x:c>
    </x:row>
    <x:row r="42">
      <x:c r="A42" s="16" t="n">
        <x:v>40</x:v>
      </x:c>
      <x:c r="B42" s="18" t="n">
        <x:v>70.91901597788446</x:v>
      </x:c>
      <x:c r="C42" s="18" t="n">
        <x:v>70.91901597788446</x:v>
      </x:c>
    </x:row>
    <x:row r="43">
      <x:c r="A43" s="16" t="n">
        <x:v>41</x:v>
      </x:c>
      <x:c r="B43" s="18" t="n">
        <x:v>71.26628032838941</x:v>
      </x:c>
      <x:c r="C43" s="18" t="n">
        <x:v>71.11095617311086</x:v>
      </x:c>
    </x:row>
    <x:row r="44">
      <x:c r="A44" s="16" t="n">
        <x:v>42</x:v>
      </x:c>
      <x:c r="B44" s="18" t="n">
        <x:v>71.51428256911555</x:v>
      </x:c>
      <x:c r="C44" s="18" t="n">
        <x:v>71.30289636833726</x:v>
      </x:c>
    </x:row>
    <x:row r="45">
      <x:c r="A45" s="16" t="n">
        <x:v>43</x:v>
      </x:c>
      <x:c r="B45" s="18" t="n">
        <x:v>71.68639725648912</x:v>
      </x:c>
      <x:c r="C45" s="18" t="n">
        <x:v>71.49483656356367</x:v>
      </x:c>
    </x:row>
    <x:row r="46">
      <x:c r="A46" s="16" t="n">
        <x:v>44</x:v>
      </x:c>
      <x:c r="B46" s="18" t="n">
        <x:v>71.80252202939523</x:v>
      </x:c>
      <x:c r="C46" s="18" t="n">
        <x:v>71.68677675879006</x:v>
      </x:c>
    </x:row>
    <x:row r="47">
      <x:c r="A47" s="16" t="n">
        <x:v>45</x:v>
      </x:c>
      <x:c r="B47" s="18" t="n">
        <x:v>71.87871695401647</x:v>
      </x:c>
      <x:c r="C47" s="18" t="n">
        <x:v>71.87871695401647</x:v>
      </x:c>
    </x:row>
    <x:row r="48">
      <x:c r="A48" s="16" t="n">
        <x:v>46</x:v>
      </x:c>
      <x:c r="B48" s="18" t="n">
        <x:v>71.92735191453025</x:v>
      </x:c>
      <x:c r="C48" s="18" t="n">
        <x:v>71.9015168406036</x:v>
      </x:c>
    </x:row>
    <x:row r="49">
      <x:c r="A49" s="16" t="n">
        <x:v>47</x:v>
      </x:c>
      <x:c r="B49" s="18" t="n">
        <x:v>71.95755848388318</x:v>
      </x:c>
      <x:c r="C49" s="18" t="n">
        <x:v>71.92431672719073</x:v>
      </x:c>
    </x:row>
    <x:row r="50">
      <x:c r="A50" s="16" t="n">
        <x:v>48</x:v>
      </x:c>
      <x:c r="B50" s="18" t="n">
        <x:v>71.97581755306109</x:v>
      </x:c>
      <x:c r="C50" s="18" t="n">
        <x:v>71.94711661377787</x:v>
      </x:c>
    </x:row>
    <x:row r="51">
      <x:c r="A51" s="16" t="n">
        <x:v>49</x:v>
      </x:c>
      <x:c r="B51" s="18" t="n">
        <x:v>71.98656145544922</x:v>
      </x:c>
      <x:c r="C51" s="18" t="n">
        <x:v>71.96991650036499</x:v>
      </x:c>
    </x:row>
    <x:row r="52">
      <x:c r="A52" s="16" t="n">
        <x:v>50</x:v>
      </x:c>
      <x:c r="B52" s="18" t="n">
        <x:v>71.99271638695213</x:v>
      </x:c>
      <x:c r="C52" s="18" t="n">
        <x:v>71.99271638695213</x:v>
      </x:c>
    </x:row>
    <x:row r="53">
      <x:c r="A53" s="16" t="n">
        <x:v>51</x:v>
      </x:c>
      <x:c r="B53" s="18" t="n">
        <x:v>71.99614979252338</x:v>
      </x:c>
      <x:c r="C53" s="18" t="n">
        <x:v>71.99412628329014</x:v>
      </x:c>
    </x:row>
    <x:row r="54">
      <x:c r="A54" s="16" t="n">
        <x:v>52</x:v>
      </x:c>
      <x:c r="B54" s="18" t="n">
        <x:v>71.9980149838763</x:v>
      </x:c>
      <x:c r="C54" s="18" t="n">
        <x:v>71.99553617962816</x:v>
      </x:c>
    </x:row>
    <x:row r="55">
      <x:c r="A55" s="16" t="n">
        <x:v>53</x:v>
      </x:c>
      <x:c r="B55" s="18" t="n">
        <x:v>71.99900187121023</x:v>
      </x:c>
      <x:c r="C55" s="18" t="n">
        <x:v>71.99694607596619</x:v>
      </x:c>
    </x:row>
    <x:row r="56">
      <x:c r="A56" s="16" t="n">
        <x:v>54</x:v>
      </x:c>
      <x:c r="B56" s="18" t="n">
        <x:v>71.99951050105052</x:v>
      </x:c>
      <x:c r="C56" s="18" t="n">
        <x:v>71.99835597230421</x:v>
      </x:c>
    </x:row>
    <x:row r="57">
      <x:c r="A57" s="16" t="n">
        <x:v>55</x:v>
      </x:c>
      <x:c r="B57" s="18" t="n">
        <x:v>71.99976586864223</x:v>
      </x:c>
      <x:c r="C57" s="18" t="n">
        <x:v>71.99976586864223</x:v>
      </x:c>
    </x:row>
    <x:row r="58">
      <x:c r="A58" s="16" t="n">
        <x:v>56</x:v>
      </x:c>
      <x:c r="B58" s="18" t="n">
        <x:v>71.99989077802101</x:v>
      </x:c>
      <x:c r="C58" s="18" t="n">
        <x:v>71.99976586864223</x:v>
      </x:c>
    </x:row>
    <x:row r="59">
      <x:c r="A59" s="16" t="n">
        <x:v>57</x:v>
      </x:c>
      <x:c r="B59" s="18" t="n">
        <x:v>71.99995030609371</x:v>
      </x:c>
      <x:c r="C59" s="18" t="n">
        <x:v>71.99976586864223</x:v>
      </x:c>
    </x:row>
    <x:row r="60">
      <x:c r="A60" s="16" t="n">
        <x:v>58</x:v>
      </x:c>
      <x:c r="B60" s="18" t="n">
        <x:v>71.99997794846276</x:v>
      </x:c>
      <x:c r="C60" s="18" t="n">
        <x:v>71.99976586864223</x:v>
      </x:c>
    </x:row>
    <x:row r="61">
      <x:c r="A61" s="16" t="n">
        <x:v>59</x:v>
      </x:c>
      <x:c r="B61" s="18" t="n">
        <x:v>71.99999045628984</x:v>
      </x:c>
      <x:c r="C61" s="18" t="n">
        <x:v>71.99976586864223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9" hidden="0" customWidth="1"/>
    <x:col min="5" max="5" width="20" hidden="0" customWidth="1"/>
    <x:col min="6" max="6" width="20" hidden="0" customWidth="1"/>
    <x:col min="7" max="7" width="23" hidden="0" customWidth="1"/>
    <x:col min="8" max="8" width="20" hidden="0" customWidth="1"/>
    <x:col min="9" max="9" width="20" hidden="0" customWidth="1"/>
    <x:col min="10" max="10" width="21" hidden="0" customWidth="1"/>
    <x:col min="11" max="11" width="34" hidden="0" customWidth="1"/>
    <x:col min="12" max="12" width="32" hidden="0" customWidth="1"/>
    <x:col min="13" max="13" width="30" hidden="0" customWidth="1"/>
    <x:col min="14" max="14" width="20" hidden="0" customWidth="1"/>
    <x:col min="15" max="15" width="20" hidden="0" customWidth="1"/>
    <x:col min="16" max="16" width="27" hidden="0" customWidth="1"/>
    <x:col min="17" max="17" width="30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30" hidden="0" customWidth="1"/>
    <x:col min="26" max="26" width="21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1" hidden="0" customWidth="1"/>
    <x:col min="32" max="32" width="21" hidden="0" customWidth="1"/>
    <x:col min="33" max="33" width="26" hidden="0" customWidth="1"/>
    <x:col min="34" max="34" width="27" hidden="0" customWidth="1"/>
    <x:col min="35" max="35" width="26" hidden="0" customWidth="1"/>
    <x:col min="36" max="36" width="27" hidden="0" customWidth="1"/>
    <x:col min="37" max="37" width="34" hidden="0" customWidth="1"/>
    <x:col min="38" max="38" width="34" hidden="0" customWidth="1"/>
    <x:col min="39" max="39" width="34" hidden="0" customWidth="1"/>
    <x:col min="40" max="40" width="34" hidden="0" customWidth="1"/>
    <x:col min="41" max="41" width="34" hidden="0" customWidth="1"/>
    <x:col min="42" max="42" width="34" hidden="0" customWidth="1"/>
    <x:col min="43" max="43" width="34" hidden="0" customWidth="1"/>
    <x:col min="44" max="44" width="34" hidden="0" customWidth="1"/>
    <x:col min="45" max="45" width="34" hidden="0" customWidth="1"/>
    <x:col min="46" max="46" width="34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HDR</x:v>
      </x:c>
      <x:c r="I1" s="14" t="str">
        <x:v>ODR</x:v>
      </x:c>
      <x:c r="J1" s="14" t="str">
        <x:v>NetBias</x:v>
      </x:c>
      <x:c r="K1" s="14" t="str">
        <x:v>hidden_auc_display_unavailable_total</x:v>
      </x:c>
      <x:c r="L1" s="14" t="str">
        <x:v>hidden_auc_display_valid_total</x:v>
      </x:c>
      <x:c r="M1" s="14" t="str">
        <x:v>true_auc_display_valid_total</x:v>
      </x:c>
      <x:c r="N1" s="14" t="str">
        <x:v>HDR_display_valid</x:v>
      </x:c>
      <x:c r="O1" s="14" t="str">
        <x:v>ODR_display_valid</x:v>
      </x:c>
      <x:c r="P1" s="14" t="str">
        <x:v>HDR_unavailable_component</x:v>
      </x:c>
      <x:c r="Q1" s="14" t="str">
        <x:v>HDR_valid_mismatch_component</x:v>
      </x:c>
      <x:c r="R1" s="14" t="str">
        <x:v>normotensive_display_discordance_min</x:v>
      </x:c>
      <x:c r="S1" s="14" t="str">
        <x:v>hypotensive_display_discordance_min</x:v>
      </x:c>
      <x:c r="T1" s="14" t="str">
        <x:v>reference_hypotension_with_display_unavailable_min</x:v>
      </x:c>
      <x:c r="U1" s="14" t="str">
        <x:v>normotensive_display_min_per_anesthesia_hour</x:v>
      </x:c>
      <x:c r="V1" s="14" t="str">
        <x:v>normotensive_display_discordance_min_per_anesthesia_hour</x:v>
      </x:c>
      <x:c r="W1" s="14" t="str">
        <x:v>hypotensive_display_discordance_min_per_anesthesia_hour</x:v>
      </x:c>
      <x:c r="X1" s="14" t="str">
        <x:v>reference_hypotension_with_display_unavailable_min_per_anesthesia_hour</x:v>
      </x:c>
      <x:c r="Y1" s="14" t="str">
        <x:v>display_unavailable_fraction</x:v>
      </x:c>
      <x:c r="Z1" s="14" t="str">
        <x:v>episode_sensitivity</x:v>
      </x:c>
      <x:c r="AA1" s="14" t="str">
        <x:v>HDR_ci_low</x:v>
      </x:c>
      <x:c r="AB1" s="14" t="str">
        <x:v>HDR_ci_high</x:v>
      </x:c>
      <x:c r="AC1" s="14" t="str">
        <x:v>ODR_ci_low</x:v>
      </x:c>
      <x:c r="AD1" s="14" t="str">
        <x:v>ODR_ci_high</x:v>
      </x:c>
      <x:c r="AE1" s="14" t="str">
        <x:v>NetBias_ci_low</x:v>
      </x:c>
      <x:c r="AF1" s="14" t="str">
        <x:v>NetBias_ci_high</x:v>
      </x:c>
      <x:c r="AG1" s="14" t="str">
        <x:v>HDR_display_valid_ci_low</x:v>
      </x:c>
      <x:c r="AH1" s="14" t="str">
        <x:v>HDR_display_valid_ci_high</x:v>
      </x:c>
      <x:c r="AI1" s="14" t="str">
        <x:v>ODR_display_valid_ci_low</x:v>
      </x:c>
      <x:c r="AJ1" s="14" t="str">
        <x:v>ODR_display_valid_ci_high</x:v>
      </x:c>
      <x:c r="AK1" s="14" t="str">
        <x:v>HDR_unavailable_component_ci_low</x:v>
      </x:c>
      <x:c r="AL1" s="14" t="str">
        <x:v>HDR_unavailable_component_ci_high</x:v>
      </x:c>
      <x:c r="AM1" s="14" t="str">
        <x:v>HDR_valid_mismatch_component_ci_low</x:v>
      </x:c>
      <x:c r="AN1" s="14" t="str">
        <x:v>HDR_valid_mismatch_component_ci_high</x:v>
      </x:c>
      <x:c r="AO1" s="14" t="str">
        <x:v>normotensive_display_discordance_ci_low</x:v>
      </x:c>
      <x:c r="AP1" s="14" t="str">
        <x:v>normotensive_display_discordance_ci_high</x:v>
      </x:c>
      <x:c r="AQ1" s="14" t="str">
        <x:v>hypotensive_display_discordance_ci_low</x:v>
      </x:c>
      <x:c r="AR1" s="14" t="str">
        <x:v>hypotensive_display_discordance_ci_high</x:v>
      </x:c>
      <x:c r="AS1" s="14" t="str">
        <x:v>reference_hypotension_with_display_unavailable_ci_low</x:v>
      </x:c>
      <x:c r="AT1" s="14" t="str">
        <x:v>reference_hypotension_with_display_unavailable_ci_high</x:v>
      </x:c>
    </x:row>
    <x:row r="2">
      <x:c r="A2" s="16" t="n">
        <x:v>55</x:v>
      </x:c>
      <x:c r="B2" s="18" t="n">
        <x:v>1</x:v>
      </x:c>
      <x:c r="C2" s="16" t="n">
        <x:v>2435</x:v>
      </x:c>
      <x:c r="D2" s="18" t="n">
        <x:v>65826.83333333333</x:v>
      </x:c>
      <x:c r="E2" s="18" t="n">
        <x:v>62557.09722222222</x:v>
      </x:c>
      <x:c r="F2" s="18" t="n">
        <x:v>32430.347222222223</x:v>
      </x:c>
      <x:c r="G2" s="18" t="n">
        <x:v>29160.61111111111</x:v>
      </x:c>
      <x:c r="H2" s="18" t="n">
        <x:v>0.4926615117273182</x:v>
      </x:c>
      <x:c r="I2" s="18" t="n">
        <x:v>0.4429897297876668</x:v>
      </x:c>
      <x:c r="J2" s="18" t="n">
        <x:v>-0.0496717819396514</x:v>
      </x:c>
      <x:c r="K2" s="18" t="n">
        <x:v>11824.055555555557</x:v>
      </x:c>
      <x:c r="L2" s="18" t="n">
        <x:v>20606.291666666664</x:v>
      </x:c>
      <x:c r="M2" s="18" t="n">
        <x:v>54002.777777777774</x:v>
      </x:c>
      <x:c r="N2" s="18" t="n">
        <x:v>0.3815783653104264</x:v>
      </x:c>
      <x:c r="O2" s="18" t="n">
        <x:v>0.5399835399413611</x:v>
      </x:c>
      <x:c r="P2" s="18" t="n">
        <x:v>0.1796236421655133</x:v>
      </x:c>
      <x:c r="Q2" s="18" t="n">
        <x:v>0.3130378695618048</x:v>
      </x:c>
      <x:c r="R2" s="18" t="n">
        <x:v>1862.4444444444443</x:v>
      </x:c>
      <x:c r="S2" s="18" t="n">
        <x:v>2221.5</x:v>
      </x:c>
      <x:c r="T2" s="18" t="n">
        <x:v>484.3611111111111</x:v>
      </x:c>
      <x:c r="U2" s="18" t="n">
        <x:v>0.1928765584847648</x:v>
      </x:c>
      <x:c r="V2" s="18" t="n">
        <x:v>0.1928765584847648</x:v>
      </x:c>
      <x:c r="W2" s="18" t="n">
        <x:v>0.2300607011135393</x:v>
      </x:c>
      <x:c r="X2" s="18" t="n">
        <x:v>0.0501609078615148</x:v>
      </x:c>
      <x:c r="Y2" s="18" t="n">
        <x:v>0.0020820134477743</x:v>
      </x:c>
      <x:c r="Z2" s="18" t="n">
        <x:v>1</x:v>
      </x:c>
      <x:c r="AA2" s="18" t="n">
        <x:v>0.4717328764207174</x:v>
      </x:c>
      <x:c r="AB2" s="18" t="n">
        <x:v>0.5127545564803715</x:v>
      </x:c>
      <x:c r="AC2" s="18" t="n">
        <x:v>0.4235348459239745</x:v>
      </x:c>
      <x:c r="AD2" s="18" t="n">
        <x:v>0.4607817950380766</x:v>
      </x:c>
      <x:c r="AE2" s="18" t="n">
        <x:v>-0.0540998537827277</x:v>
      </x:c>
      <x:c r="AF2" s="18" t="n">
        <x:v>-0.045535015652178</x:v>
      </x:c>
      <x:c r="AG2" s="18" t="n">
        <x:v>0.360894130699375</x:v>
      </x:c>
      <x:c r="AH2" s="18" t="n">
        <x:v>0.4007178435897861</x:v>
      </x:c>
      <x:c r="AI2" s="18" t="n">
        <x:v>0.5123818114698664</x:v>
      </x:c>
      <x:c r="AJ2" s="18" t="n">
        <x:v>0.5670186311340546</x:v>
      </x:c>
      <x:c r="AK2" s="18" t="n">
        <x:v>0.1696026658187982</x:v>
      </x:c>
      <x:c r="AL2" s="18" t="n">
        <x:v>0.1910220265247595</x:v>
      </x:c>
      <x:c r="AM2" s="18" t="n">
        <x:v>0.297606693072065</x:v>
      </x:c>
      <x:c r="AN2" s="18" t="n">
        <x:v>0.3273682938274768</x:v>
      </x:c>
      <x:c r="AO2" s="18" t="n">
        <x:v>0.1824698426323563</x:v>
      </x:c>
      <x:c r="AP2" s="18" t="n">
        <x:v>0.2041766695558966</x:v>
      </x:c>
      <x:c r="AQ2" s="18" t="n">
        <x:v>0.2197734462399562</x:v>
      </x:c>
      <x:c r="AR2" s="18" t="n">
        <x:v>0.2415154411702841</x:v>
      </x:c>
      <x:c r="AS2" s="18" t="n">
        <x:v>0.0484090195112623</x:v>
      </x:c>
      <x:c r="AT2" s="18" t="n">
        <x:v>0.0520659330084869</x:v>
      </x:c>
    </x:row>
    <x:row r="3">
      <x:c r="A3" s="16" t="n">
        <x:v>55</x:v>
      </x:c>
      <x:c r="B3" s="18" t="n">
        <x:v>2.5</x:v>
      </x:c>
      <x:c r="C3" s="16" t="n">
        <x:v>2435</x:v>
      </x:c>
      <x:c r="D3" s="18" t="n">
        <x:v>65826.83333333333</x:v>
      </x:c>
      <x:c r="E3" s="18" t="n">
        <x:v>61718.88888888889</x:v>
      </x:c>
      <x:c r="F3" s="18" t="n">
        <x:v>44952.83888888889</x:v>
      </x:c>
      <x:c r="G3" s="18" t="n">
        <x:v>40844.894444444435</x:v>
      </x:c>
      <x:c r="H3" s="18" t="n">
        <x:v>0.6828953576007083</x:v>
      </x:c>
      <x:c r="I3" s="18" t="n">
        <x:v>0.6204900399448721</x:v>
      </x:c>
      <x:c r="J3" s="18" t="n">
        <x:v>-0.0624053176558361</x:v>
      </x:c>
      <x:c r="K3" s="18" t="n">
        <x:v>18946.19444444444</x:v>
      </x:c>
      <x:c r="L3" s="18" t="n">
        <x:v>26006.64444444444</x:v>
      </x:c>
      <x:c r="M3" s="18" t="n">
        <x:v>46880.63888888889</x:v>
      </x:c>
      <x:c r="N3" s="18" t="n">
        <x:v>0.5547416814451357</x:v>
      </x:c>
      <x:c r="O3" s="18" t="n">
        <x:v>0.8712529396463712</x:v>
      </x:c>
      <x:c r="P3" s="18" t="n">
        <x:v>0.2878187129024553</x:v>
      </x:c>
      <x:c r="Q3" s="18" t="n">
        <x:v>0.3950766446982529</x:v>
      </x:c>
      <x:c r="R3" s="18" t="n">
        <x:v>2709.844444444444</x:v>
      </x:c>
      <x:c r="S3" s="18" t="n">
        <x:v>3364.4666666666662</x:v>
      </x:c>
      <x:c r="T3" s="18" t="n">
        <x:v>813.0111111111111</x:v>
      </x:c>
      <x:c r="U3" s="18" t="n">
        <x:v>0.2806341268501095</x:v>
      </x:c>
      <x:c r="V3" s="18" t="n">
        <x:v>0.2806341268501095</x:v>
      </x:c>
      <x:c r="W3" s="18" t="n">
        <x:v>0.3484274410112383</x:v>
      </x:c>
      <x:c r="X3" s="18" t="n">
        <x:v>0.0841962215779067</x:v>
      </x:c>
      <x:c r="Y3" s="18" t="n">
        <x:v>0.0056289785121848</x:v>
      </x:c>
      <x:c r="Z3" s="18" t="n">
        <x:v>0.7519071310116087</x:v>
      </x:c>
      <x:c r="AA3" s="18" t="n">
        <x:v>0.6585083870467846</x:v>
      </x:c>
      <x:c r="AB3" s="18" t="n">
        <x:v>0.7051092363208078</x:v>
      </x:c>
      <x:c r="AC3" s="18" t="n">
        <x:v>0.5984429589618717</x:v>
      </x:c>
      <x:c r="AD3" s="18" t="n">
        <x:v>0.6405279201369606</x:v>
      </x:c>
      <x:c r="AE3" s="18" t="n">
        <x:v>-0.0679998239498716</x:v>
      </x:c>
      <x:c r="AF3" s="18" t="n">
        <x:v>-0.0568724569587848</x:v>
      </x:c>
      <x:c r="AG3" s="18" t="n">
        <x:v>0.5265902523113513</x:v>
      </x:c>
      <x:c r="AH3" s="18" t="n">
        <x:v>0.5811115590138931</x:v>
      </x:c>
      <x:c r="AI3" s="18" t="n">
        <x:v>0.8280631796692735</x:v>
      </x:c>
      <x:c r="AJ3" s="18" t="n">
        <x:v>0.9142810701031788</x:v>
      </x:c>
      <x:c r="AK3" s="18" t="n">
        <x:v>0.2719639825772757</x:v>
      </x:c>
      <x:c r="AL3" s="18" t="n">
        <x:v>0.3030969671039165</x:v>
      </x:c>
      <x:c r="AM3" s="18" t="n">
        <x:v>0.3775066078309294</x:v>
      </x:c>
      <x:c r="AN3" s="18" t="n">
        <x:v>0.4123358241483547</x:v>
      </x:c>
      <x:c r="AO3" s="18" t="n">
        <x:v>0.2644098159722509</x:v>
      </x:c>
      <x:c r="AP3" s="18" t="n">
        <x:v>0.2980024564304744</x:v>
      </x:c>
      <x:c r="AQ3" s="18" t="n">
        <x:v>0.331804518372548</x:v>
      </x:c>
      <x:c r="AR3" s="18" t="n">
        <x:v>0.3666900515642479</x:v>
      </x:c>
      <x:c r="AS3" s="18" t="n">
        <x:v>0.0806346106907466</x:v>
      </x:c>
      <x:c r="AT3" s="18" t="n">
        <x:v>0.0877275531591836</x:v>
      </x:c>
    </x:row>
    <x:row r="4">
      <x:c r="A4" s="16" t="n">
        <x:v>55</x:v>
      </x:c>
      <x:c r="B4" s="18" t="n">
        <x:v>3</x:v>
      </x:c>
      <x:c r="C4" s="16" t="n">
        <x:v>2435</x:v>
      </x:c>
      <x:c r="D4" s="18" t="n">
        <x:v>65826.83333333333</x:v>
      </x:c>
      <x:c r="E4" s="18" t="n">
        <x:v>61580.22222222222</x:v>
      </x:c>
      <x:c r="F4" s="18" t="n">
        <x:v>47019.31018518518</x:v>
      </x:c>
      <x:c r="G4" s="18" t="n">
        <x:v>42772.69907407407</x:v>
      </x:c>
      <x:c r="H4" s="18" t="n">
        <x:v>0.7142878945291082</x:v>
      </x:c>
      <x:c r="I4" s="18" t="n">
        <x:v>0.6497760397721407</x:v>
      </x:c>
      <x:c r="J4" s="18" t="n">
        <x:v>-0.0645118547569675</x:v>
      </x:c>
      <x:c r="K4" s="18" t="n">
        <x:v>20280.88888888889</x:v>
      </x:c>
      <x:c r="L4" s="18" t="n">
        <x:v>26738.421296296296</x:v>
      </x:c>
      <x:c r="M4" s="18" t="n">
        <x:v>45545.94444444444</x:v>
      </x:c>
      <x:c r="N4" s="18" t="n">
        <x:v>0.5870648116411552</x:v>
      </x:c>
      <x:c r="O4" s="18" t="n">
        <x:v>0.9391110360275198</x:v>
      </x:c>
      <x:c r="P4" s="18" t="n">
        <x:v>0.3080945544834385</x:v>
      </x:c>
      <x:c r="Q4" s="18" t="n">
        <x:v>0.4061933400456698</x:v>
      </x:c>
      <x:c r="R4" s="18" t="n">
        <x:v>2862.675925925926</x:v>
      </x:c>
      <x:c r="S4" s="18" t="n">
        <x:v>3580.2129629629626</x:v>
      </x:c>
      <x:c r="T4" s="18" t="n">
        <x:v>882.4814814814814</x:v>
      </x:c>
      <x:c r="U4" s="18" t="n">
        <x:v>0.2964615037494346</x:v>
      </x:c>
      <x:c r="V4" s="18" t="n">
        <x:v>0.2964615037494346</x:v>
      </x:c>
      <x:c r="W4" s="18" t="n">
        <x:v>0.3707703373374033</x:v>
      </x:c>
      <x:c r="X4" s="18" t="n">
        <x:v>0.0913906407154375</x:v>
      </x:c>
      <x:c r="Y4" s="18" t="n">
        <x:v>0.0068192825828484</x:v>
      </x:c>
      <x:c r="Z4" s="18" t="n">
        <x:v>0.683605780620706</x:v>
      </x:c>
      <x:c r="AA4" s="18" t="n">
        <x:v>0.6904980046308838</x:v>
      </x:c>
      <x:c r="AB4" s="18" t="n">
        <x:v>0.7377268194962168</x:v>
      </x:c>
      <x:c r="AC4" s="18" t="n">
        <x:v>0.6276061921095174</x:v>
      </x:c>
      <x:c r="AD4" s="18" t="n">
        <x:v>0.6701912669636111</x:v>
      </x:c>
      <x:c r="AE4" s="18" t="n">
        <x:v>-0.0709417148638431</x:v>
      </x:c>
      <x:c r="AF4" s="18" t="n">
        <x:v>-0.0587940292393305</x:v>
      </x:c>
      <x:c r="AG4" s="18" t="n">
        <x:v>0.5568469881835648</x:v>
      </x:c>
      <x:c r="AH4" s="18" t="n">
        <x:v>0.6150056180271516</x:v>
      </x:c>
      <x:c r="AI4" s="18" t="n">
        <x:v>0.8944405028544276</x:v>
      </x:c>
      <x:c r="AJ4" s="18" t="n">
        <x:v>0.987261985751229</x:v>
      </x:c>
      <x:c r="AK4" s="18" t="n">
        <x:v>0.2928029631504115</x:v>
      </x:c>
      <x:c r="AL4" s="18" t="n">
        <x:v>0.3260384327006635</x:v>
      </x:c>
      <x:c r="AM4" s="18" t="n">
        <x:v>0.385759818080875</x:v>
      </x:c>
      <x:c r="AN4" s="18" t="n">
        <x:v>0.4247113959798592</x:v>
      </x:c>
      <x:c r="AO4" s="18" t="n">
        <x:v>0.2772518494476365</x:v>
      </x:c>
      <x:c r="AP4" s="18" t="n">
        <x:v>0.3144132161334202</x:v>
      </x:c>
      <x:c r="AQ4" s="18" t="n">
        <x:v>0.3507977488648554</x:v>
      </x:c>
      <x:c r="AR4" s="18" t="n">
        <x:v>0.3893612577318306</x:v>
      </x:c>
      <x:c r="AS4" s="18" t="n">
        <x:v>0.0871014894565445</x:v>
      </x:c>
      <x:c r="AT4" s="18" t="n">
        <x:v>0.0956904747962196</x:v>
      </x:c>
    </x:row>
    <x:row r="5">
      <x:c r="A5" s="16" t="n">
        <x:v>55</x:v>
      </x:c>
      <x:c r="B5" s="18" t="n">
        <x:v>5</x:v>
      </x:c>
      <x:c r="C5" s="16" t="n">
        <x:v>2435</x:v>
      </x:c>
      <x:c r="D5" s="18" t="n">
        <x:v>65826.83333333333</x:v>
      </x:c>
      <x:c r="E5" s="18" t="n">
        <x:v>61570.11111111111</x:v>
      </x:c>
      <x:c r="F5" s="18" t="n">
        <x:v>52196.225000000006</x:v>
      </x:c>
      <x:c r="G5" s="18" t="n">
        <x:v>47939.50277777777</x:v>
      </x:c>
      <x:c r="H5" s="18" t="n">
        <x:v>0.792932340155104</x:v>
      </x:c>
      <x:c r="I5" s="18" t="n">
        <x:v>0.7282668837345122</x:v>
      </x:c>
      <x:c r="J5" s="18" t="n">
        <x:v>-0.0646654564205919</x:v>
      </x:c>
      <x:c r="K5" s="18" t="n">
        <x:v>24012.73611111111</x:v>
      </x:c>
      <x:c r="L5" s="18" t="n">
        <x:v>28183.48888888889</x:v>
      </x:c>
      <x:c r="M5" s="18" t="n">
        <x:v>41814.09722222222</x:v>
      </x:c>
      <x:c r="N5" s="18" t="n">
        <x:v>0.6740188300397095</x:v>
      </x:c>
      <x:c r="O5" s="18" t="n">
        <x:v>1.1464913979369664</x:v>
      </x:c>
      <x:c r="P5" s="18" t="n">
        <x:v>0.3647864388298254</x:v>
      </x:c>
      <x:c r="Q5" s="18" t="n">
        <x:v>0.4281459013252786</x:v>
      </x:c>
      <x:c r="R5" s="18" t="n">
        <x:v>3224.8166666666666</x:v>
      </x:c>
      <x:c r="S5" s="18" t="n">
        <x:v>4146.277777777777</x:v>
      </x:c>
      <x:c r="T5" s="18" t="n">
        <x:v>1092.4833333333331</x:v>
      </x:c>
      <x:c r="U5" s="18" t="n">
        <x:v>0.3339651511573082</x:v>
      </x:c>
      <x:c r="V5" s="18" t="n">
        <x:v>0.3339651511573082</x:v>
      </x:c>
      <x:c r="W5" s="18" t="n">
        <x:v>0.4293925602372466</x:v>
      </x:c>
      <x:c r="X5" s="18" t="n">
        <x:v>0.1131386367866411</x:v>
      </x:c>
      <x:c r="Y5" s="18" t="n">
        <x:v>0.0115009360161237</x:v>
      </x:c>
      <x:c r="Z5" s="18" t="n">
        <x:v>0.50075811419095</x:v>
      </x:c>
      <x:c r="AA5" s="18" t="n">
        <x:v>0.7678969476865211</x:v>
      </x:c>
      <x:c r="AB5" s="18" t="n">
        <x:v>0.8131092099300875</x:v>
      </x:c>
      <x:c r="AC5" s="18" t="n">
        <x:v>0.7056561732009629</x:v>
      </x:c>
      <x:c r="AD5" s="18" t="n">
        <x:v>0.7469690579675997</x:v>
      </x:c>
      <x:c r="AE5" s="18" t="n">
        <x:v>-0.0718390709721302</x:v>
      </x:c>
      <x:c r="AF5" s="18" t="n">
        <x:v>-0.0586494293129081</x:v>
      </x:c>
      <x:c r="AG5" s="18" t="n">
        <x:v>0.640590100239216</x:v>
      </x:c>
      <x:c r="AH5" s="18" t="n">
        <x:v>0.7037332804820352</x:v>
      </x:c>
      <x:c r="AI5" s="18" t="n">
        <x:v>1.0885589749357285</x:v>
      </x:c>
      <x:c r="AJ5" s="18" t="n">
        <x:v>1.2024962383207316</x:v>
      </x:c>
      <x:c r="AK5" s="18" t="n">
        <x:v>0.3453686479643148</x:v>
      </x:c>
      <x:c r="AL5" s="18" t="n">
        <x:v>0.3849269681902266</x:v>
      </x:c>
      <x:c r="AM5" s="18" t="n">
        <x:v>0.4072624971343785</x:v>
      </x:c>
      <x:c r="AN5" s="18" t="n">
        <x:v>0.4487094235192176</x:v>
      </x:c>
      <x:c r="AO5" s="18" t="n">
        <x:v>0.3133406092464237</x:v>
      </x:c>
      <x:c r="AP5" s="18" t="n">
        <x:v>0.3563789314561789</x:v>
      </x:c>
      <x:c r="AQ5" s="18" t="n">
        <x:v>0.4075963864589509</x:v>
      </x:c>
      <x:c r="AR5" s="18" t="n">
        <x:v>0.4534157231326303</x:v>
      </x:c>
      <x:c r="AS5" s="18" t="n">
        <x:v>0.1075053493856695</x:v>
      </x:c>
      <x:c r="AT5" s="18" t="n">
        <x:v>0.1184161796077213</x:v>
      </x:c>
    </x:row>
    <x:row r="6">
      <x:c r="A6" s="16" t="n">
        <x:v>55</x:v>
      </x:c>
      <x:c r="B6" s="18" t="n">
        <x:v>10</x:v>
      </x:c>
      <x:c r="C6" s="16" t="n">
        <x:v>2435</x:v>
      </x:c>
      <x:c r="D6" s="18" t="n">
        <x:v>65826.83333333333</x:v>
      </x:c>
      <x:c r="E6" s="18" t="n">
        <x:v>61455.54861111111</x:v>
      </x:c>
      <x:c r="F6" s="18" t="n">
        <x:v>57233.96111111111</x:v>
      </x:c>
      <x:c r="G6" s="18" t="n">
        <x:v>52862.67638888888</x:v>
      </x:c>
      <x:c r="H6" s="18" t="n">
        <x:v>0.8694624701341821</x:v>
      </x:c>
      <x:c r="I6" s="18" t="n">
        <x:v>0.8030566520069914</x:v>
      </x:c>
      <x:c r="J6" s="18" t="n">
        <x:v>-0.0664058181271906</x:v>
      </x:c>
      <x:c r="K6" s="18" t="n">
        <x:v>28758.1125</x:v>
      </x:c>
      <x:c r="L6" s="18" t="n">
        <x:v>28475.848611111112</x:v>
      </x:c>
      <x:c r="M6" s="18" t="n">
        <x:v>37068.72083333333</x:v>
      </x:c>
      <x:c r="N6" s="18" t="n">
        <x:v>0.7681907541170062</x:v>
      </x:c>
      <x:c r="O6" s="18" t="n">
        <x:v>1.4260723111155522</x:v>
      </x:c>
      <x:c r="P6" s="18" t="n">
        <x:v>0.4368752231232957</x:v>
      </x:c>
      <x:c r="Q6" s="18" t="n">
        <x:v>0.4325872470108863</x:v>
      </x:c>
      <x:c r="R6" s="18" t="n">
        <x:v>3497.1083333333336</x:v>
      </x:c>
      <x:c r="S6" s="18" t="n">
        <x:v>4734.655555555555</x:v>
      </x:c>
      <x:c r="T6" s="18" t="n">
        <x:v>1431.9555555555555</x:v>
      </x:c>
      <x:c r="U6" s="18" t="n">
        <x:v>0.3621639410473409</x:v>
      </x:c>
      <x:c r="V6" s="18" t="n">
        <x:v>0.3621639410473409</x:v>
      </x:c>
      <x:c r="W6" s="18" t="n">
        <x:v>0.4903255352879699</x:v>
      </x:c>
      <x:c r="X6" s="18" t="n">
        <x:v>0.1482947103644109</x:v>
      </x:c>
      <x:c r="Y6" s="18" t="n">
        <x:v>0.0231097855623753</x:v>
      </x:c>
      <x:c r="Z6" s="18" t="n">
        <x:v>0.3127339493011135</x:v>
      </x:c>
      <x:c r="AA6" s="18" t="n">
        <x:v>0.8505865663839545</x:v>
      </x:c>
      <x:c r="AB6" s="18" t="n">
        <x:v>0.8888676313044542</x:v>
      </x:c>
      <x:c r="AC6" s="18" t="n">
        <x:v>0.7858094803732508</x:v>
      </x:c>
      <x:c r="AD6" s="18" t="n">
        <x:v>0.8203015137193459</x:v>
      </x:c>
      <x:c r="AE6" s="18" t="n">
        <x:v>-0.0742090642468753</x:v>
      </x:c>
      <x:c r="AF6" s="18" t="n">
        <x:v>-0.0591289072860422</x:v>
      </x:c>
      <x:c r="AG6" s="18" t="n">
        <x:v>0.7378091394854353</x:v>
      </x:c>
      <x:c r="AH6" s="18" t="n">
        <x:v>0.7990312153355649</x:v>
      </x:c>
      <x:c r="AI6" s="18" t="n">
        <x:v>1.359130038820039</x:v>
      </x:c>
      <x:c r="AJ6" s="18" t="n">
        <x:v>1.4967575839839151</x:v>
      </x:c>
      <x:c r="AK6" s="18" t="n">
        <x:v>0.4161918449619677</x:v>
      </x:c>
      <x:c r="AL6" s="18" t="n">
        <x:v>0.4577556254655984</x:v>
      </x:c>
      <x:c r="AM6" s="18" t="n">
        <x:v>0.4123373849043761</x:v>
      </x:c>
      <x:c r="AN6" s="18" t="n">
        <x:v>0.4531475479855796</x:v>
      </x:c>
      <x:c r="AO6" s="18" t="n">
        <x:v>0.3356034094819368</x:v>
      </x:c>
      <x:c r="AP6" s="18" t="n">
        <x:v>0.3915570951554207</x:v>
      </x:c>
      <x:c r="AQ6" s="18" t="n">
        <x:v>0.4612068875199601</x:v>
      </x:c>
      <x:c r="AR6" s="18" t="n">
        <x:v>0.5215369253102995</x:v>
      </x:c>
      <x:c r="AS6" s="18" t="n">
        <x:v>0.1407523406521181</x:v>
      </x:c>
      <x:c r="AT6" s="18" t="n">
        <x:v>0.1562292479330387</x:v>
      </x:c>
    </x:row>
    <x:row r="7">
      <x:c r="A7" s="16" t="n">
        <x:v>60</x:v>
      </x:c>
      <x:c r="B7" s="18" t="n">
        <x:v>1</x:v>
      </x:c>
      <x:c r="C7" s="16" t="n">
        <x:v>2435</x:v>
      </x:c>
      <x:c r="D7" s="18" t="n">
        <x:v>120110.5</x:v>
      </x:c>
      <x:c r="E7" s="18" t="n">
        <x:v>116199.31944444444</x:v>
      </x:c>
      <x:c r="F7" s="18" t="n">
        <x:v>49180.19444444444</x:v>
      </x:c>
      <x:c r="G7" s="18" t="n">
        <x:v>45269.01388888888</x:v>
      </x:c>
      <x:c r="H7" s="18" t="n">
        <x:v>0.409457911210464</x:v>
      </x:c>
      <x:c r="I7" s="18" t="n">
        <x:v>0.3768947251813029</x:v>
      </x:c>
      <x:c r="J7" s="18" t="n">
        <x:v>-0.0325631860291611</x:v>
      </x:c>
      <x:c r="K7" s="18" t="n">
        <x:v>14389.472222222224</x:v>
      </x:c>
      <x:c r="L7" s="18" t="n">
        <x:v>34790.72222222222</x:v>
      </x:c>
      <x:c r="M7" s="18" t="n">
        <x:v>105721.02777777778</x:v>
      </x:c>
      <x:c r="N7" s="18" t="n">
        <x:v>0.3290804389014379</x:v>
      </x:c>
      <x:c r="O7" s="18" t="n">
        <x:v>0.428193093090647</x:v>
      </x:c>
      <x:c r="P7" s="18" t="n">
        <x:v>0.1198019508887418</x:v>
      </x:c>
      <x:c r="Q7" s="18" t="n">
        <x:v>0.2896559603217222</x:v>
      </x:c>
      <x:c r="R7" s="18" t="n">
        <x:v>3652.805555555556</x:v>
      </x:c>
      <x:c r="S7" s="18" t="n">
        <x:v>4055.0277777777774</x:v>
      </x:c>
      <x:c r="T7" s="18" t="n">
        <x:v>533.1944444444445</x:v>
      </x:c>
      <x:c r="U7" s="18" t="n">
        <x:v>0.3782880968456191</x:v>
      </x:c>
      <x:c r="V7" s="18" t="n">
        <x:v>0.3782880968456191</x:v>
      </x:c>
      <x:c r="W7" s="18" t="n">
        <x:v>0.4199426214676718</x:v>
      </x:c>
      <x:c r="X7" s="18" t="n">
        <x:v>0.0552181353674242</x:v>
      </x:c>
      <x:c r="Y7" s="18" t="n">
        <x:v>0.0020820134477743</x:v>
      </x:c>
      <x:c r="Z7" s="18" t="n">
        <x:v>1</x:v>
      </x:c>
      <x:c r="AA7" s="18" t="n">
        <x:v>0.3943923425298739</x:v>
      </x:c>
      <x:c r="AB7" s="18" t="n">
        <x:v>0.4249590855923009</x:v>
      </x:c>
      <x:c r="AC7" s="18" t="n">
        <x:v>0.3632749304403916</x:v>
      </x:c>
      <x:c r="AD7" s="18" t="n">
        <x:v>0.3909207381648396</x:v>
      </x:c>
      <x:c r="AE7" s="18" t="n">
        <x:v>-0.0353999286583372</x:v>
      </x:c>
      <x:c r="AF7" s="18" t="n">
        <x:v>-0.0299739713127742</x:v>
      </x:c>
      <x:c r="AG7" s="18" t="n">
        <x:v>0.315813678621954</x:v>
      </x:c>
      <x:c r="AH7" s="18" t="n">
        <x:v>0.3428293039787887</x:v>
      </x:c>
      <x:c r="AI7" s="18" t="n">
        <x:v>0.4102237799400716</x:v>
      </x:c>
      <x:c r="AJ7" s="18" t="n">
        <x:v>0.4472063038900626</x:v>
      </x:c>
      <x:c r="AK7" s="18" t="n">
        <x:v>0.1126109087737604</x:v>
      </x:c>
      <x:c r="AL7" s="18" t="n">
        <x:v>0.1273642612492267</x:v>
      </x:c>
      <x:c r="AM7" s="18" t="n">
        <x:v>0.2791220501346342</x:v>
      </x:c>
      <x:c r="AN7" s="18" t="n">
        <x:v>0.300887738220028</x:v>
      </x:c>
      <x:c r="AO7" s="18" t="n">
        <x:v>0.3615279309435162</x:v>
      </x:c>
      <x:c r="AP7" s="18" t="n">
        <x:v>0.3959397094687931</x:v>
      </x:c>
      <x:c r="AQ7" s="18" t="n">
        <x:v>0.4029120524561747</x:v>
      </x:c>
      <x:c r="AR7" s="18" t="n">
        <x:v>0.4377600685174235</x:v>
      </x:c>
      <x:c r="AS7" s="18" t="n">
        <x:v>0.0533593609560103</x:v>
      </x:c>
      <x:c r="AT7" s="18" t="n">
        <x:v>0.0570906009444534</x:v>
      </x:c>
    </x:row>
    <x:row r="8">
      <x:c r="A8" s="16" t="n">
        <x:v>60</x:v>
      </x:c>
      <x:c r="B8" s="18" t="n">
        <x:v>2.5</x:v>
      </x:c>
      <x:c r="C8" s="16" t="n">
        <x:v>2435</x:v>
      </x:c>
      <x:c r="D8" s="18" t="n">
        <x:v>120110.5</x:v>
      </x:c>
      <x:c r="E8" s="18" t="n">
        <x:v>115174.68333333332</x:v>
      </x:c>
      <x:c r="F8" s="18" t="n">
        <x:v>71530.43333333332</x:v>
      </x:c>
      <x:c r="G8" s="18" t="n">
        <x:v>66594.61666666667</x:v>
      </x:c>
      <x:c r="H8" s="18" t="n">
        <x:v>0.5955385526938387</x:v>
      </x:c>
      <x:c r="I8" s="18" t="n">
        <x:v>0.5544445878309279</x:v>
      </x:c>
      <x:c r="J8" s="18" t="n">
        <x:v>-0.0410939648629108</x:v>
      </x:c>
      <x:c r="K8" s="18" t="n">
        <x:v>23391.35555555555</x:v>
      </x:c>
      <x:c r="L8" s="18" t="n">
        <x:v>48139.07777777777</x:v>
      </x:c>
      <x:c r="M8" s="18" t="n">
        <x:v>96719.14444444444</x:v>
      </x:c>
      <x:c r="N8" s="18" t="n">
        <x:v>0.4977202605987577</x:v>
      </x:c>
      <x:c r="O8" s="18" t="n">
        <x:v>0.6885360395729997</x:v>
      </x:c>
      <x:c r="P8" s="18" t="n">
        <x:v>0.1947486319310597</x:v>
      </x:c>
      <x:c r="Q8" s="18" t="n">
        <x:v>0.400789920762779</x:v>
      </x:c>
      <x:c r="R8" s="18" t="n">
        <x:v>5914.955555555555</x:v>
      </x:c>
      <x:c r="S8" s="18" t="n">
        <x:v>6683.122222222221</x:v>
      </x:c>
      <x:c r="T8" s="18" t="n">
        <x:v>942.522222222222</x:v>
      </x:c>
      <x:c r="U8" s="18" t="n">
        <x:v>0.6125585515041799</x:v>
      </x:c>
      <x:c r="V8" s="18" t="n">
        <x:v>0.6125585515041799</x:v>
      </x:c>
      <x:c r="W8" s="18" t="n">
        <x:v>0.6921106387899705</x:v>
      </x:c>
      <x:c r="X8" s="18" t="n">
        <x:v>0.0976085182352174</x:v>
      </x:c>
      <x:c r="Y8" s="18" t="n">
        <x:v>0.0056289785121848</x:v>
      </x:c>
      <x:c r="Z8" s="18" t="n">
        <x:v>0.79651728553137</x:v>
      </x:c>
      <x:c r="AA8" s="18" t="n">
        <x:v>0.5753943054789009</x:v>
      </x:c>
      <x:c r="AB8" s="18" t="n">
        <x:v>0.6139958250003461</x:v>
      </x:c>
      <x:c r="AC8" s="18" t="n">
        <x:v>0.536371302982288</x:v>
      </x:c>
      <x:c r="AD8" s="18" t="n">
        <x:v>0.5710156553423231</x:v>
      </x:c>
      <x:c r="AE8" s="18" t="n">
        <x:v>-0.0451093831126379</x:v>
      </x:c>
      <x:c r="AF8" s="18" t="n">
        <x:v>-0.036958329935073</x:v>
      </x:c>
      <x:c r="AG8" s="18" t="n">
        <x:v>0.478528571206776</x:v>
      </x:c>
      <x:c r="AH8" s="18" t="n">
        <x:v>0.5165050466367798</x:v>
      </x:c>
      <x:c r="AI8" s="18" t="n">
        <x:v>0.6589025630749251</x:v>
      </x:c>
      <x:c r="AJ8" s="18" t="n">
        <x:v>0.7173009853563121</x:v>
      </x:c>
      <x:c r="AK8" s="18" t="n">
        <x:v>0.1830701085231813</x:v>
      </x:c>
      <x:c r="AL8" s="18" t="n">
        <x:v>0.2070669863893434</x:v>
      </x:c>
      <x:c r="AM8" s="18" t="n">
        <x:v>0.387049746643774</x:v>
      </x:c>
      <x:c r="AN8" s="18" t="n">
        <x:v>0.4146861197116049</x:v>
      </x:c>
      <x:c r="AO8" s="18" t="n">
        <x:v>0.5821141406873936</x:v>
      </x:c>
      <x:c r="AP8" s="18" t="n">
        <x:v>0.6424624602534639</x:v>
      </x:c>
      <x:c r="AQ8" s="18" t="n">
        <x:v>0.6602661220026866</x:v>
      </x:c>
      <x:c r="AR8" s="18" t="n">
        <x:v>0.7221540913971431</x:v>
      </x:c>
      <x:c r="AS8" s="18" t="n">
        <x:v>0.0936942831021564</x:v>
      </x:c>
      <x:c r="AT8" s="18" t="n">
        <x:v>0.1016544343130426</x:v>
      </x:c>
    </x:row>
    <x:row r="9">
      <x:c r="A9" s="16" t="n">
        <x:v>60</x:v>
      </x:c>
      <x:c r="B9" s="18" t="n">
        <x:v>3</x:v>
      </x:c>
      <x:c r="C9" s="16" t="n">
        <x:v>2435</x:v>
      </x:c>
      <x:c r="D9" s="18" t="n">
        <x:v>120110.5</x:v>
      </x:c>
      <x:c r="E9" s="18" t="n">
        <x:v>114987.86574074072</x:v>
      </x:c>
      <x:c r="F9" s="18" t="n">
        <x:v>75612.58796296296</x:v>
      </x:c>
      <x:c r="G9" s="18" t="n">
        <x:v>70489.95370370371</x:v>
      </x:c>
      <x:c r="H9" s="18" t="n">
        <x:v>0.6295252118920741</x:v>
      </x:c>
      <x:c r="I9" s="18" t="n">
        <x:v>0.586875866004252</x:v>
      </x:c>
      <x:c r="J9" s="18" t="n">
        <x:v>-0.042649345887822</x:v>
      </x:c>
      <x:c r="K9" s="18" t="n">
        <x:v>25145.53240740741</x:v>
      </x:c>
      <x:c r="L9" s="18" t="n">
        <x:v>50467.055555555555</x:v>
      </x:c>
      <x:c r="M9" s="18" t="n">
        <x:v>94964.96759259258</x:v>
      </x:c>
      <x:c r="N9" s="18" t="n">
        <x:v>0.531428134341743</x:v>
      </x:c>
      <x:c r="O9" s="18" t="n">
        <x:v>0.7422732349692502</x:v>
      </x:c>
      <x:c r="P9" s="18" t="n">
        <x:v>0.2093533238759926</x:v>
      </x:c>
      <x:c r="Q9" s="18" t="n">
        <x:v>0.4201718880160814</x:v>
      </x:c>
      <x:c r="R9" s="18" t="n">
        <x:v>6393.185185185184</x:v>
      </x:c>
      <x:c r="S9" s="18" t="n">
        <x:v>7242.62037037037</x:v>
      </x:c>
      <x:c r="T9" s="18" t="n">
        <x:v>1037.0462962962963</x:v>
      </x:c>
      <x:c r="U9" s="18" t="n">
        <x:v>0.6620844771786615</x:v>
      </x:c>
      <x:c r="V9" s="18" t="n">
        <x:v>0.6620844771786615</x:v>
      </x:c>
      <x:c r="W9" s="18" t="n">
        <x:v>0.7500528113016474</x:v>
      </x:c>
      <x:c r="X9" s="18" t="n">
        <x:v>0.1073975233009791</x:v>
      </x:c>
      <x:c r="Y9" s="18" t="n">
        <x:v>0.0068192825828484</x:v>
      </x:c>
      <x:c r="Z9" s="18" t="n">
        <x:v>0.7367335325081804</x:v>
      </x:c>
      <x:c r="AA9" s="18" t="n">
        <x:v>0.6097428292016002</x:v>
      </x:c>
      <x:c r="AB9" s="18" t="n">
        <x:v>0.6474385189908423</x:v>
      </x:c>
      <x:c r="AC9" s="18" t="n">
        <x:v>0.56916210923764</x:v>
      </x:c>
      <x:c r="AD9" s="18" t="n">
        <x:v>0.6029447344931383</x:v>
      </x:c>
      <x:c r="AE9" s="18" t="n">
        <x:v>-0.0464098943468104</x:v>
      </x:c>
      <x:c r="AF9" s="18" t="n">
        <x:v>-0.0386534438123532</x:v>
      </x:c>
      <x:c r="AG9" s="18" t="n">
        <x:v>0.5101918496452763</x:v>
      </x:c>
      <x:c r="AH9" s="18" t="n">
        <x:v>0.5495314277388766</x:v>
      </x:c>
      <x:c r="AI9" s="18" t="n">
        <x:v>0.7129310516538547</x:v>
      </x:c>
      <x:c r="AJ9" s="18" t="n">
        <x:v>0.7717818076429488</x:v>
      </x:c>
      <x:c r="AK9" s="18" t="n">
        <x:v>0.1971641986805262</x:v>
      </x:c>
      <x:c r="AL9" s="18" t="n">
        <x:v>0.2229256109691089</x:v>
      </x:c>
      <x:c r="AM9" s="18" t="n">
        <x:v>0.4050275440183012</x:v>
      </x:c>
      <x:c r="AN9" s="18" t="n">
        <x:v>0.4335906734032729</x:v>
      </x:c>
      <x:c r="AO9" s="18" t="n">
        <x:v>0.6312612173080238</x:v>
      </x:c>
      <x:c r="AP9" s="18" t="n">
        <x:v>0.694058711552002</x:v>
      </x:c>
      <x:c r="AQ9" s="18" t="n">
        <x:v>0.7185333780778957</x:v>
      </x:c>
      <x:c r="AR9" s="18" t="n">
        <x:v>0.7822247340221775</x:v>
      </x:c>
      <x:c r="AS9" s="18" t="n">
        <x:v>0.1030501706570122</x:v>
      </x:c>
      <x:c r="AT9" s="18" t="n">
        <x:v>0.1121748225753087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8" t="n">
        <x:v>120110.5</x:v>
      </x:c>
      <x:c r="E10" s="18" t="n">
        <x:v>114906.34444444445</x:v>
      </x:c>
      <x:c r="F10" s="18" t="n">
        <x:v>86197.83055555556</x:v>
      </x:c>
      <x:c r="G10" s="18" t="n">
        <x:v>80993.67499999999</x:v>
      </x:c>
      <x:c r="H10" s="18" t="n">
        <x:v>0.7176544145229231</x:v>
      </x:c>
      <x:c r="I10" s="18" t="n">
        <x:v>0.6743263494865144</x:v>
      </x:c>
      <x:c r="J10" s="18" t="n">
        <x:v>-0.0433280650364087</x:v>
      </x:c>
      <x:c r="K10" s="18" t="n">
        <x:v>30198.48055555555</x:v>
      </x:c>
      <x:c r="L10" s="18" t="n">
        <x:v>55999.35</x:v>
      </x:c>
      <x:c r="M10" s="18" t="n">
        <x:v>89912.01944444444</x:v>
      </x:c>
      <x:c r="N10" s="18" t="n">
        <x:v>0.6228238487580776</x:v>
      </x:c>
      <x:c r="O10" s="18" t="n">
        <x:v>0.9008103199155147</x:v>
      </x:c>
      <x:c r="P10" s="18" t="n">
        <x:v>0.2514224864233814</x:v>
      </x:c>
      <x:c r="Q10" s="18" t="n">
        <x:v>0.4662319280995416</x:v>
      </x:c>
      <x:c r="R10" s="18" t="n">
        <x:v>7655.35</x:v>
      </x:c>
      <x:c r="S10" s="18" t="n">
        <x:v>8793.65</x:v>
      </x:c>
      <x:c r="T10" s="18" t="n">
        <x:v>1344.072222222222</x:v>
      </x:c>
      <x:c r="U10" s="18" t="n">
        <x:v>0.7927954932565986</x:v>
      </x:c>
      <x:c r="V10" s="18" t="n">
        <x:v>0.7927954932565986</x:v>
      </x:c>
      <x:c r="W10" s="18" t="n">
        <x:v>0.9106789486144836</x:v>
      </x:c>
      <x:c r="X10" s="18" t="n">
        <x:v>0.1391934268699875</x:v>
      </x:c>
      <x:c r="Y10" s="18" t="n">
        <x:v>0.0115009360161237</x:v>
      </x:c>
      <x:c r="Z10" s="18" t="n">
        <x:v>0.5651301749893298</x:v>
      </x:c>
      <x:c r="AA10" s="18" t="n">
        <x:v>0.6973222987106832</x:v>
      </x:c>
      <x:c r="AB10" s="18" t="n">
        <x:v>0.7350912826614593</x:v>
      </x:c>
      <x:c r="AC10" s="18" t="n">
        <x:v>0.6563527729276766</x:v>
      </x:c>
      <x:c r="AD10" s="18" t="n">
        <x:v>0.6903165616337826</x:v>
      </x:c>
      <x:c r="AE10" s="18" t="n">
        <x:v>-0.0479273523238283</x:v>
      </x:c>
      <x:c r="AF10" s="18" t="n">
        <x:v>-0.0386602382571741</x:v>
      </x:c>
      <x:c r="AG10" s="18" t="n">
        <x:v>0.6006028704921336</x:v>
      </x:c>
      <x:c r="AH10" s="18" t="n">
        <x:v>0.6435064716187311</x:v>
      </x:c>
      <x:c r="AI10" s="18" t="n">
        <x:v>0.8640221470906354</x:v>
      </x:c>
      <x:c r="AJ10" s="18" t="n">
        <x:v>0.936523031943144</x:v>
      </x:c>
      <x:c r="AK10" s="18" t="n">
        <x:v>0.2359680453114488</x:v>
      </x:c>
      <x:c r="AL10" s="18" t="n">
        <x:v>0.2668955731395706</x:v>
      </x:c>
      <x:c r="AM10" s="18" t="n">
        <x:v>0.4508899222612937</x:v>
      </x:c>
      <x:c r="AN10" s="18" t="n">
        <x:v>0.4809931039517719</x:v>
      </x:c>
      <x:c r="AO10" s="18" t="n">
        <x:v>0.7500014028551494</x:v>
      </x:c>
      <x:c r="AP10" s="18" t="n">
        <x:v>0.830774300307051</x:v>
      </x:c>
      <x:c r="AQ10" s="18" t="n">
        <x:v>0.865875484819952</x:v>
      </x:c>
      <x:c r="AR10" s="18" t="n">
        <x:v>0.9486223012881402</x:v>
      </x:c>
      <x:c r="AS10" s="18" t="n">
        <x:v>0.1323021017058718</x:v>
      </x:c>
      <x:c r="AT10" s="18" t="n">
        <x:v>0.145622262465054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8" t="n">
        <x:v>120110.5</x:v>
      </x:c>
      <x:c r="E11" s="18" t="n">
        <x:v>114611.22916666669</x:v>
      </x:c>
      <x:c r="F11" s="18" t="n">
        <x:v>97292.96805555554</x:v>
      </x:c>
      <x:c r="G11" s="18" t="n">
        <x:v>91793.69722222222</x:v>
      </x:c>
      <x:c r="H11" s="18" t="n">
        <x:v>0.8100288322466024</x:v>
      </x:c>
      <x:c r="I11" s="18" t="n">
        <x:v>0.7642437357451866</x:v>
      </x:c>
      <x:c r="J11" s="18" t="n">
        <x:v>-0.0457850965014158</x:v>
      </x:c>
      <x:c r="K11" s="18" t="n">
        <x:v>37329.680555555555</x:v>
      </x:c>
      <x:c r="L11" s="18" t="n">
        <x:v>59963.2875</x:v>
      </x:c>
      <x:c r="M11" s="18" t="n">
        <x:v>82780.81944444444</x:v>
      </x:c>
      <x:c r="N11" s="18" t="n">
        <x:v>0.7243620913929505</x:v>
      </x:c>
      <x:c r="O11" s="18" t="n">
        <x:v>1.108876402024825</x:v>
      </x:c>
      <x:c r="P11" s="18" t="n">
        <x:v>0.3107944813780273</x:v>
      </x:c>
      <x:c r="Q11" s="18" t="n">
        <x:v>0.4992343508685751</x:v>
      </x:c>
      <x:c r="R11" s="18" t="n">
        <x:v>8873.875</x:v>
      </x:c>
      <x:c r="S11" s="18" t="n">
        <x:v>10553.102777777778</x:v>
      </x:c>
      <x:c r="T11" s="18" t="n">
        <x:v>1938.9444444444443</x:v>
      </x:c>
      <x:c r="U11" s="18" t="n">
        <x:v>0.9189871276587482</x:v>
      </x:c>
      <x:c r="V11" s="18" t="n">
        <x:v>0.9189871276587482</x:v>
      </x:c>
      <x:c r="W11" s="18" t="n">
        <x:v>1.0928895899071778</x:v>
      </x:c>
      <x:c r="X11" s="18" t="n">
        <x:v>0.2007989729052851</x:v>
      </x:c>
      <x:c r="Y11" s="18" t="n">
        <x:v>0.0231097855623753</x:v>
      </x:c>
      <x:c r="Z11" s="18" t="n">
        <x:v>0.3737046521553563</x:v>
      </x:c>
      <x:c r="AA11" s="18" t="n">
        <x:v>0.7919755019561424</x:v>
      </x:c>
      <x:c r="AB11" s="18" t="n">
        <x:v>0.8275103927819595</x:v>
      </x:c>
      <x:c r="AC11" s="18" t="n">
        <x:v>0.747575376827715</x:v>
      </x:c>
      <x:c r="AD11" s="18" t="n">
        <x:v>0.7808099529610638</x:v>
      </x:c>
      <x:c r="AE11" s="18" t="n">
        <x:v>-0.0510722196042375</x:v>
      </x:c>
      <x:c r="AF11" s="18" t="n">
        <x:v>-0.0410204580917968</x:v>
      </x:c>
      <x:c r="AG11" s="18" t="n">
        <x:v>0.7014324635783564</x:v>
      </x:c>
      <x:c r="AH11" s="18" t="n">
        <x:v>0.7473074924526607</x:v>
      </x:c>
      <x:c r="AI11" s="18" t="n">
        <x:v>1.064168421287539</x:v>
      </x:c>
      <x:c r="AJ11" s="18" t="n">
        <x:v>1.1541614206797357</x:v>
      </x:c>
      <x:c r="AK11" s="18" t="n">
        <x:v>0.2923956820363597</x:v>
      </x:c>
      <x:c r="AL11" s="18" t="n">
        <x:v>0.3274569715352311</x:v>
      </x:c>
      <x:c r="AM11" s="18" t="n">
        <x:v>0.4842392124941569</x:v>
      </x:c>
      <x:c r="AN11" s="18" t="n">
        <x:v>0.5144908241219601</x:v>
      </x:c>
      <x:c r="AO11" s="18" t="n">
        <x:v>0.8704727243128831</x:v>
      </x:c>
      <x:c r="AP11" s="18" t="n">
        <x:v>0.971462926583346</x:v>
      </x:c>
      <x:c r="AQ11" s="18" t="n">
        <x:v>1.0421880838972355</x:v>
      </x:c>
      <x:c r="AR11" s="18" t="n">
        <x:v>1.1465855502766005</x:v>
      </x:c>
      <x:c r="AS11" s="18" t="n">
        <x:v>0.1911634086638815</x:v>
      </x:c>
      <x:c r="AT11" s="18" t="n">
        <x:v>0.2104571408180078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8" t="n">
        <x:v>262221.8333333333</x:v>
      </x:c>
      <x:c r="E12" s="18" t="n">
        <x:v>257644.55555555556</x:v>
      </x:c>
      <x:c r="F12" s="18" t="n">
        <x:v>79485.68055555556</x:v>
      </x:c>
      <x:c r="G12" s="18" t="n">
        <x:v>74908.40277777778</x:v>
      </x:c>
      <x:c r="H12" s="18" t="n">
        <x:v>0.3031238075988672</x:v>
      </x:c>
      <x:c r="I12" s="18" t="n">
        <x:v>0.2856680613721249</x:v>
      </x:c>
      <x:c r="J12" s="18" t="n">
        <x:v>-0.0174557462267423</x:v>
      </x:c>
      <x:c r="K12" s="18" t="n">
        <x:v>17230.333333333332</x:v>
      </x:c>
      <x:c r="L12" s="18" t="n">
        <x:v>62255.34722222222</x:v>
      </x:c>
      <x:c r="M12" s="18" t="n">
        <x:v>244991.5</x:v>
      </x:c>
      <x:c r="N12" s="18" t="n">
        <x:v>0.2541122741900116</x:v>
      </x:c>
      <x:c r="O12" s="18" t="n">
        <x:v>0.3057591907383635</x:v>
      </x:c>
      <x:c r="P12" s="18" t="n">
        <x:v>0.0657089957548665</x:v>
      </x:c>
      <x:c r="Q12" s="18" t="n">
        <x:v>0.2374148118440006</x:v>
      </x:c>
      <x:c r="R12" s="18" t="n">
        <x:v>6884.527777777777</x:v>
      </x:c>
      <x:c r="S12" s="18" t="n">
        <x:v>7344.25</x:v>
      </x:c>
      <x:c r="T12" s="18" t="n">
        <x:v>592.3611111111111</x:v>
      </x:c>
      <x:c r="U12" s="18" t="n">
        <x:v>0.7129683940541043</x:v>
      </x:c>
      <x:c r="V12" s="18" t="n">
        <x:v>0.7129683940541043</x:v>
      </x:c>
      <x:c r="W12" s="18" t="n">
        <x:v>0.7605776746131494</x:v>
      </x:c>
      <x:c r="X12" s="18" t="n">
        <x:v>0.0613454929257787</x:v>
      </x:c>
      <x:c r="Y12" s="18" t="n">
        <x:v>0.0020820134477743</x:v>
      </x:c>
      <x:c r="Z12" s="18" t="n">
        <x:v>1</x:v>
      </x:c>
      <x:c r="AA12" s="18" t="n">
        <x:v>0.2936000766997126</x:v>
      </x:c>
      <x:c r="AB12" s="18" t="n">
        <x:v>0.3131568551298618</x:v>
      </x:c>
      <x:c r="AC12" s="18" t="n">
        <x:v>0.2767595390629442</x:v>
      </x:c>
      <x:c r="AD12" s="18" t="n">
        <x:v>0.2949429558748526</x:v>
      </x:c>
      <x:c r="AE12" s="18" t="n">
        <x:v>-0.019027712514179</x:v>
      </x:c>
      <x:c r="AF12" s="18" t="n">
        <x:v>-0.0159929465501042</x:v>
      </x:c>
      <x:c r="AG12" s="18" t="n">
        <x:v>0.2459662419858726</x:v>
      </x:c>
      <x:c r="AH12" s="18" t="n">
        <x:v>0.2626697011720565</x:v>
      </x:c>
      <x:c r="AI12" s="18" t="n">
        <x:v>0.2953381147779436</x:v>
      </x:c>
      <x:c r="AJ12" s="18" t="n">
        <x:v>0.3165206693242894</x:v>
      </x:c>
      <x:c r="AK12" s="18" t="n">
        <x:v>0.0619995713453273</x:v>
      </x:c>
      <x:c r="AL12" s="18" t="n">
        <x:v>0.0699737481877914</x:v>
      </x:c>
      <x:c r="AM12" s="18" t="n">
        <x:v>0.2302062407767215</x:v>
      </x:c>
      <x:c r="AN12" s="18" t="n">
        <x:v>0.2448484987158218</x:v>
      </x:c>
      <x:c r="AO12" s="18" t="n">
        <x:v>0.6854098444743217</x:v>
      </x:c>
      <x:c r="AP12" s="18" t="n">
        <x:v>0.73977125267547</x:v>
      </x:c>
      <x:c r="AQ12" s="18" t="n">
        <x:v>0.7328207365539844</x:v>
      </x:c>
      <x:c r="AR12" s="18" t="n">
        <x:v>0.7877237185425093</x:v>
      </x:c>
      <x:c r="AS12" s="18" t="n">
        <x:v>0.0594747134336016</x:v>
      </x:c>
      <x:c r="AT12" s="18" t="n">
        <x:v>0.0634470023488429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8" t="n">
        <x:v>262221.8333333333</x:v>
      </x:c>
      <x:c r="E13" s="18" t="n">
        <x:v>256349.77777777775</x:v>
      </x:c>
      <x:c r="F13" s="18" t="n">
        <x:v>122980.5611111111</x:v>
      </x:c>
      <x:c r="G13" s="18" t="n">
        <x:v>117108.50555555554</x:v>
      </x:c>
      <x:c r="H13" s="18" t="n">
        <x:v>0.4689943607967215</x:v>
      </x:c>
      <x:c r="I13" s="18" t="n">
        <x:v>0.4466008953826838</x:v>
      </x:c>
      <x:c r="J13" s="18" t="n">
        <x:v>-0.0223934654140377</x:v>
      </x:c>
      <x:c r="K13" s="18" t="n">
        <x:v>28600.705555555556</x:v>
      </x:c>
      <x:c r="L13" s="18" t="n">
        <x:v>94379.85555555556</x:v>
      </x:c>
      <x:c r="M13" s="18" t="n">
        <x:v>233621.1277777778</x:v>
      </x:c>
      <x:c r="N13" s="18" t="n">
        <x:v>0.4039868159755242</x:v>
      </x:c>
      <x:c r="O13" s="18" t="n">
        <x:v>0.5012753198715403</x:v>
      </x:c>
      <x:c r="P13" s="18" t="n">
        <x:v>0.1090706490454541</x:v>
      </x:c>
      <x:c r="Q13" s="18" t="n">
        <x:v>0.3599237117512674</x:v>
      </x:c>
      <x:c r="R13" s="18" t="n">
        <x:v>11777.22222222222</x:v>
      </x:c>
      <x:c r="S13" s="18" t="n">
        <x:v>12691.455555555554</x:v>
      </x:c>
      <x:c r="T13" s="18" t="n">
        <x:v>1113.711111111111</x:v>
      </x:c>
      <x:c r="U13" s="18" t="n">
        <x:v>1.2196605904183662</x:v>
      </x:c>
      <x:c r="V13" s="18" t="n">
        <x:v>1.2196605904183662</x:v>
      </x:c>
      <x:c r="W13" s="18" t="n">
        <x:v>1.3143394838003308</x:v>
      </x:c>
      <x:c r="X13" s="18" t="n">
        <x:v>0.1153370061040563</x:v>
      </x:c>
      <x:c r="Y13" s="18" t="n">
        <x:v>0.0056289785121848</x:v>
      </x:c>
      <x:c r="Z13" s="18" t="n">
        <x:v>0.8490765937375278</x:v>
      </x:c>
      <x:c r="AA13" s="18" t="n">
        <x:v>0.4544730029985244</x:v>
      </x:c>
      <x:c r="AB13" s="18" t="n">
        <x:v>0.4825862654172647</x:v>
      </x:c>
      <x:c r="AC13" s="18" t="n">
        <x:v>0.4332426473987431</x:v>
      </x:c>
      <x:c r="AD13" s="18" t="n">
        <x:v>0.4595079889310925</x:v>
      </x:c>
      <x:c r="AE13" s="18" t="n">
        <x:v>-0.024583999578373</x:v>
      </x:c>
      <x:c r="AF13" s="18" t="n">
        <x:v>-0.0204216065415385</x:v>
      </x:c>
      <x:c r="AG13" s="18" t="n">
        <x:v>0.3910936255204162</x:v>
      </x:c>
      <x:c r="AH13" s="18" t="n">
        <x:v>0.4171557015940434</x:v>
      </x:c>
      <x:c r="AI13" s="18" t="n">
        <x:v>0.483497481671849</x:v>
      </x:c>
      <x:c r="AJ13" s="18" t="n">
        <x:v>0.5184075720710479</x:v>
      </x:c>
      <x:c r="AK13" s="18" t="n">
        <x:v>0.1019975704406868</x:v>
      </x:c>
      <x:c r="AL13" s="18" t="n">
        <x:v>0.1161688893658761</x:v>
      </x:c>
      <x:c r="AM13" s="18" t="n">
        <x:v>0.3488748280350819</x:v>
      </x:c>
      <x:c r="AN13" s="18" t="n">
        <x:v>0.3701252182908668</x:v>
      </x:c>
      <x:c r="AO13" s="18" t="n">
        <x:v>1.1736645455284709</x:v>
      </x:c>
      <x:c r="AP13" s="18" t="n">
        <x:v>1.2652288021576208</x:v>
      </x:c>
      <x:c r="AQ13" s="18" t="n">
        <x:v>1.2665019778862252</x:v>
      </x:c>
      <x:c r="AR13" s="18" t="n">
        <x:v>1.3604599222563911</x:v>
      </x:c>
      <x:c r="AS13" s="18" t="n">
        <x:v>0.1109054454424917</x:v>
      </x:c>
      <x:c r="AT13" s="18" t="n">
        <x:v>0.119641378446695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8" t="n">
        <x:v>262221.8333333333</x:v>
      </x:c>
      <x:c r="E14" s="18" t="n">
        <x:v>256084.35185185185</x:v>
      </x:c>
      <x:c r="F14" s="18" t="n">
        <x:v>131955.54166666666</x:v>
      </x:c>
      <x:c r="G14" s="18" t="n">
        <x:v>125818.06018518515</x:v>
      </x:c>
      <x:c r="H14" s="18" t="n">
        <x:v>0.5032210323193276</x:v>
      </x:c>
      <x:c r="I14" s="18" t="n">
        <x:v>0.4798153478899933</x:v>
      </x:c>
      <x:c r="J14" s="18" t="n">
        <x:v>-0.0234056844293342</x:v>
      </x:c>
      <x:c r="K14" s="18" t="n">
        <x:v>30928.72685185185</x:v>
      </x:c>
      <x:c r="L14" s="18" t="n">
        <x:v>101026.8148148148</x:v>
      </x:c>
      <x:c r="M14" s="18" t="n">
        <x:v>231293.10648148143</x:v>
      </x:c>
      <x:c r="N14" s="18" t="n">
        <x:v>0.436791292017618</x:v>
      </x:c>
      <x:c r="O14" s="18" t="n">
        <x:v>0.543976697356775</x:v>
      </x:c>
      <x:c r="P14" s="18" t="n">
        <x:v>0.1179487095284534</x:v>
      </x:c>
      <x:c r="Q14" s="18" t="n">
        <x:v>0.3852723227908742</x:v>
      </x:c>
      <x:c r="R14" s="18" t="n">
        <x:v>12948.453703703704</x:v>
      </x:c>
      <x:c r="S14" s="18" t="n">
        <x:v>13970.75925925926</x:v>
      </x:c>
      <x:c r="T14" s="18" t="n">
        <x:v>1243.8703703703702</x:v>
      </x:c>
      <x:c r="U14" s="18" t="n">
        <x:v>1.340954462034787</x:v>
      </x:c>
      <x:c r="V14" s="18" t="n">
        <x:v>1.340954462034787</x:v>
      </x:c>
      <x:c r="W14" s="18" t="n">
        <x:v>1.4468254198846082</x:v>
      </x:c>
      <x:c r="X14" s="18" t="n">
        <x:v>0.1288164256141189</x:v>
      </x:c>
      <x:c r="Y14" s="18" t="n">
        <x:v>0.0068192825828484</x:v>
      </x:c>
      <x:c r="Z14" s="18" t="n">
        <x:v>0.802450322315349</x:v>
      </x:c>
      <x:c r="AA14" s="18" t="n">
        <x:v>0.4882411564028137</x:v>
      </x:c>
      <x:c r="AB14" s="18" t="n">
        <x:v>0.5169650799336916</x:v>
      </x:c>
      <x:c r="AC14" s="18" t="n">
        <x:v>0.4663756711824853</x:v>
      </x:c>
      <x:c r="AD14" s="18" t="n">
        <x:v>0.4926571714549627</x:v>
      </x:c>
      <x:c r="AE14" s="18" t="n">
        <x:v>-0.0257136562613975</x:v>
      </x:c>
      <x:c r="AF14" s="18" t="n">
        <x:v>-0.0212838494954672</x:v>
      </x:c>
      <x:c r="AG14" s="18" t="n">
        <x:v>0.4226542793482573</x:v>
      </x:c>
      <x:c r="AH14" s="18" t="n">
        <x:v>0.4502594731273641</x:v>
      </x:c>
      <x:c r="AI14" s="18" t="n">
        <x:v>0.525361596586835</x:v>
      </x:c>
      <x:c r="AJ14" s="18" t="n">
        <x:v>0.5616843934172977</x:v>
      </x:c>
      <x:c r="AK14" s="18" t="n">
        <x:v>0.110806019997423</x:v>
      </x:c>
      <x:c r="AL14" s="18" t="n">
        <x:v>0.1254615206617006</x:v>
      </x:c>
      <x:c r="AM14" s="18" t="n">
        <x:v>0.3741196482502023</x:v>
      </x:c>
      <x:c r="AN14" s="18" t="n">
        <x:v>0.395605707832859</x:v>
      </x:c>
      <x:c r="AO14" s="18" t="n">
        <x:v>1.2903115642651874</x:v>
      </x:c>
      <x:c r="AP14" s="18" t="n">
        <x:v>1.3916059754548966</x:v>
      </x:c>
      <x:c r="AQ14" s="18" t="n">
        <x:v>1.3941584443618569</x:v>
      </x:c>
      <x:c r="AR14" s="18" t="n">
        <x:v>1.49843561821836</x:v>
      </x:c>
      <x:c r="AS14" s="18" t="n">
        <x:v>0.1238399215620559</x:v>
      </x:c>
      <x:c r="AT14" s="18" t="n">
        <x:v>0.1344794623811371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8" t="n">
        <x:v>262221.8333333333</x:v>
      </x:c>
      <x:c r="E15" s="18" t="n">
        <x:v>255815.09166666667</x:v>
      </x:c>
      <x:c r="F15" s="18" t="n">
        <x:v>156657.8111111111</x:v>
      </x:c>
      <x:c r="G15" s="18" t="n">
        <x:v>150251.06944444444</x:v>
      </x:c>
      <x:c r="H15" s="18" t="n">
        <x:v>0.5974247419434733</x:v>
      </x:c>
      <x:c r="I15" s="18" t="n">
        <x:v>0.5729922163020157</x:v>
      </x:c>
      <x:c r="J15" s="18" t="n">
        <x:v>-0.0244325256414575</x:v>
      </x:c>
      <x:c r="K15" s="18" t="n">
        <x:v>37947.33055555555</x:v>
      </x:c>
      <x:c r="L15" s="18" t="n">
        <x:v>118710.48055555556</x:v>
      </x:c>
      <x:c r="M15" s="18" t="n">
        <x:v>224274.50277777776</x:v>
      </x:c>
      <x:c r="N15" s="18" t="n">
        <x:v>0.529308856268783</x:v>
      </x:c>
      <x:c r="O15" s="18" t="n">
        <x:v>0.6699427156609087</x:v>
      </x:c>
      <x:c r="P15" s="18" t="n">
        <x:v>0.1447146108055668</x:v>
      </x:c>
      <x:c r="Q15" s="18" t="n">
        <x:v>0.4527101311379063</x:v>
      </x:c>
      <x:c r="R15" s="18" t="n">
        <x:v>16337.566666666666</x:v>
      </x:c>
      <x:c r="S15" s="18" t="n">
        <x:v>17769.627777777776</x:v>
      </x:c>
      <x:c r="T15" s="18" t="n">
        <x:v>1701.5388888888888</x:v>
      </x:c>
      <x:c r="U15" s="18" t="n">
        <x:v>1.6919342974668123</x:v>
      </x:c>
      <x:c r="V15" s="18" t="n">
        <x:v>1.6919342974668123</x:v>
      </x:c>
      <x:c r="W15" s="18" t="n">
        <x:v>1.8402399392672424</x:v>
      </x:c>
      <x:c r="X15" s="18" t="n">
        <x:v>0.1762130226197301</x:v>
      </x:c>
      <x:c r="Y15" s="18" t="n">
        <x:v>0.0115009360161237</x:v>
      </x:c>
      <x:c r="Z15" s="18" t="n">
        <x:v>0.657762780740902</x:v>
      </x:c>
      <x:c r="AA15" s="18" t="n">
        <x:v>0.5814571937502134</x:v>
      </x:c>
      <x:c r="AB15" s="18" t="n">
        <x:v>0.6126324766090073</x:v>
      </x:c>
      <x:c r="AC15" s="18" t="n">
        <x:v>0.5578223060919201</x:v>
      </x:c>
      <x:c r="AD15" s="18" t="n">
        <x:v>0.586776748290535</x:v>
      </x:c>
      <x:c r="AE15" s="18" t="n">
        <x:v>-0.0271664308416516</x:v>
      </x:c>
      <x:c r="AF15" s="18" t="n">
        <x:v>-0.021810710531806</x:v>
      </x:c>
      <x:c r="AG15" s="18" t="n">
        <x:v>0.5134572843322524</x:v>
      </x:c>
      <x:c r="AH15" s="18" t="n">
        <x:v>0.5435331335378321</x:v>
      </x:c>
      <x:c r="AI15" s="18" t="n">
        <x:v>0.647912226787285</x:v>
      </x:c>
      <x:c r="AJ15" s="18" t="n">
        <x:v>0.6911781474812013</x:v>
      </x:c>
      <x:c r="AK15" s="18" t="n">
        <x:v>0.1359342433067799</x:v>
      </x:c>
      <x:c r="AL15" s="18" t="n">
        <x:v>0.1538365822263309</x:v>
      </x:c>
      <x:c r="AM15" s="18" t="n">
        <x:v>0.4411553133481103</x:v>
      </x:c>
      <x:c r="AN15" s="18" t="n">
        <x:v>0.462957465776602</x:v>
      </x:c>
      <x:c r="AO15" s="18" t="n">
        <x:v>1.6287432359169205</x:v>
      </x:c>
      <x:c r="AP15" s="18" t="n">
        <x:v>1.756369495230963</x:v>
      </x:c>
      <x:c r="AQ15" s="18" t="n">
        <x:v>1.7744846191514387</x:v>
      </x:c>
      <x:c r="AR15" s="18" t="n">
        <x:v>1.9068707805096576</x:v>
      </x:c>
      <x:c r="AS15" s="18" t="n">
        <x:v>0.1691881818312058</x:v>
      </x:c>
      <x:c r="AT15" s="18" t="n">
        <x:v>0.1834573211298584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8" t="n">
        <x:v>262221.8333333333</x:v>
      </x:c>
      <x:c r="E16" s="18" t="n">
        <x:v>255032.5861111111</x:v>
      </x:c>
      <x:c r="F16" s="18" t="n">
        <x:v>185640.6222222222</x:v>
      </x:c>
      <x:c r="G16" s="18" t="n">
        <x:v>178451.375</x:v>
      </x:c>
      <x:c r="H16" s="18" t="n">
        <x:v>0.7079525753533956</x:v>
      </x:c>
      <x:c r="I16" s="18" t="n">
        <x:v>0.6805359139303809</x:v>
      </x:c>
      <x:c r="J16" s="18" t="n">
        <x:v>-0.0274166614230147</x:v>
      </x:c>
      <x:c r="K16" s="18" t="n">
        <x:v>49342.448611111104</x:v>
      </x:c>
      <x:c r="L16" s="18" t="n">
        <x:v>136298.17361111112</x:v>
      </x:c>
      <x:c r="M16" s="18" t="n">
        <x:v>212879.38472222225</x:v>
      </x:c>
      <x:c r="N16" s="18" t="n">
        <x:v>0.640260088072695</x:v>
      </x:c>
      <x:c r="O16" s="18" t="n">
        <x:v>0.838274571456762</x:v>
      </x:c>
      <x:c r="P16" s="18" t="n">
        <x:v>0.1881706339394994</x:v>
      </x:c>
      <x:c r="Q16" s="18" t="n">
        <x:v>0.5197819414138962</x:v>
      </x:c>
      <x:c r="R16" s="18" t="n">
        <x:v>20380.81388888889</x:v>
      </x:c>
      <x:c r="S16" s="18" t="n">
        <x:v>22724.377777777776</x:v>
      </x:c>
      <x:c r="T16" s="18" t="n">
        <x:v>2748.041666666667</x:v>
      </x:c>
      <x:c r="U16" s="18" t="n">
        <x:v>2.110656913140823</x:v>
      </x:c>
      <x:c r="V16" s="18" t="n">
        <x:v>2.110656913140823</x:v>
      </x:c>
      <x:c r="W16" s="18" t="n">
        <x:v>2.3533586693335535</x:v>
      </x:c>
      <x:c r="X16" s="18" t="n">
        <x:v>0.2845898683423599</x:v>
      </x:c>
      <x:c r="Y16" s="18" t="n">
        <x:v>0.0231097855623753</x:v>
      </x:c>
      <x:c r="Z16" s="18" t="n">
        <x:v>0.4728130329088205</x:v>
      </x:c>
      <x:c r="AA16" s="18" t="n">
        <x:v>0.6920016405090013</x:v>
      </x:c>
      <x:c r="AB16" s="18" t="n">
        <x:v>0.7225371806382715</x:v>
      </x:c>
      <x:c r="AC16" s="18" t="n">
        <x:v>0.6657157621371649</x:v>
      </x:c>
      <x:c r="AD16" s="18" t="n">
        <x:v>0.6943394779252858</x:v>
      </x:c>
      <x:c r="AE16" s="18" t="n">
        <x:v>-0.0305983536644552</x:v>
      </x:c>
      <x:c r="AF16" s="18" t="n">
        <x:v>-0.0243043761397579</x:v>
      </x:c>
      <x:c r="AG16" s="18" t="n">
        <x:v>0.6241134046602299</x:v>
      </x:c>
      <x:c r="AH16" s="18" t="n">
        <x:v>0.6560386253669672</x:v>
      </x:c>
      <x:c r="AI16" s="18" t="n">
        <x:v>0.8106193455347293</x:v>
      </x:c>
      <x:c r="AJ16" s="18" t="n">
        <x:v>0.8640712255657861</x:v>
      </x:c>
      <x:c r="AK16" s="18" t="n">
        <x:v>0.1772351267975028</x:v>
      </x:c>
      <x:c r="AL16" s="18" t="n">
        <x:v>0.1994284439687211</x:v>
      </x:c>
      <x:c r="AM16" s="18" t="n">
        <x:v>0.5082846890090628</x:v>
      </x:c>
      <x:c r="AN16" s="18" t="n">
        <x:v>0.531739785327292</x:v>
      </x:c>
      <x:c r="AO16" s="18" t="n">
        <x:v>2.0282664578545915</x:v>
      </x:c>
      <x:c r="AP16" s="18" t="n">
        <x:v>2.1987991955099413</x:v>
      </x:c>
      <x:c r="AQ16" s="18" t="n">
        <x:v>2.2649599077649065</x:v>
      </x:c>
      <x:c r="AR16" s="18" t="n">
        <x:v>2.4392757542118293</x:v>
      </x:c>
      <x:c r="AS16" s="18" t="n">
        <x:v>0.2721937204426664</x:v>
      </x:c>
      <x:c r="AT16" s="18" t="n">
        <x:v>0.2967975502681444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1" hidden="0" customWidth="1"/>
    <x:col min="4" max="4" width="10" hidden="0" customWidth="1"/>
    <x:col min="5" max="5" width="19" hidden="0" customWidth="1"/>
    <x:col min="6" max="6" width="20" hidden="0" customWidth="1"/>
    <x:col min="7" max="7" width="20" hidden="0" customWidth="1"/>
    <x:col min="8" max="8" width="23" hidden="0" customWidth="1"/>
    <x:col min="9" max="9" width="20" hidden="0" customWidth="1"/>
    <x:col min="10" max="10" width="20" hidden="0" customWidth="1"/>
    <x:col min="11" max="11" width="21" hidden="0" customWidth="1"/>
    <x:col min="12" max="12" width="20" hidden="0" customWidth="1"/>
    <x:col min="13" max="13" width="20" hidden="0" customWidth="1"/>
    <x:col min="14" max="14" width="21" hidden="0" customWidth="1"/>
    <x:col min="15" max="15" width="27" hidden="0" customWidth="1"/>
    <x:col min="16" max="16" width="20" hidden="0" customWidth="1"/>
    <x:col min="17" max="17" width="20" hidden="0" customWidth="1"/>
    <x:col min="18" max="18" width="23" hidden="0" customWidth="1"/>
    <x:col min="19" max="19" width="32" hidden="0" customWidth="1"/>
    <x:col min="20" max="20" width="29" hidden="0" customWidth="1"/>
    <x:col min="21" max="21" width="17" hidden="0" customWidth="1"/>
    <x:col min="22" max="22" width="32" hidden="0" customWidth="1"/>
    <x:col min="23" max="23" width="34" hidden="0" customWidth="1"/>
    <x:col min="24" max="24" width="16" hidden="0" customWidth="1"/>
    <x:col min="25" max="25" width="34" hidden="0" customWidth="1"/>
    <x:col min="26" max="26" width="25" hidden="0" customWidth="1"/>
    <x:col min="27" max="27" width="34" hidden="0" customWidth="1"/>
    <x:col min="28" max="28" width="34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threshold</x:v>
      </x:c>
      <x:c r="D1" s="14" t="str">
        <x:v>n_cases</x:v>
      </x:c>
      <x:c r="E1" s="14" t="str">
        <x:v>true_auc_total</x:v>
      </x:c>
      <x:c r="F1" s="14" t="str">
        <x:v>display_auc_total</x:v>
      </x:c>
      <x:c r="G1" s="14" t="str">
        <x:v>hidden_auc_total</x:v>
      </x:c>
      <x:c r="H1" s="14" t="str">
        <x:v>overdisplay_auc_total</x:v>
      </x:c>
      <x:c r="I1" s="14" t="str">
        <x:v>HDR</x:v>
      </x:c>
      <x:c r="J1" s="14" t="str">
        <x:v>ODR</x:v>
      </x:c>
      <x:c r="K1" s="14" t="str">
        <x:v>NetBias</x:v>
      </x:c>
      <x:c r="L1" s="14" t="str">
        <x:v>measurement_burden</x:v>
      </x:c>
      <x:c r="M1" s="14" t="str">
        <x:v>sample_count_total</x:v>
      </x:c>
      <x:c r="N1" s="14" t="str">
        <x:v>trigger_count_total</x:v>
      </x:c>
      <x:c r="O1" s="14" t="str">
        <x:v>selected_continuous_cases</x:v>
      </x:c>
      <x:c r="P1" s="14" t="str">
        <x:v>HDR65</x:v>
      </x:c>
      <x:c r="Q1" s="14" t="str">
        <x:v>ODR65</x:v>
      </x:c>
      <x:c r="R1" s="14" t="str">
        <x:v>hdr_reduction_vs_5min</x:v>
      </x:c>
      <x:c r="S1" s="14" t="str">
        <x:v>relative_hdr_reduction_vs_5min</x:v>
      </x:c>
      <x:c r="T1" s="14" t="str">
        <x:v>extra_measurements_per_hour</x:v>
      </x:c>
      <x:c r="U1" s="14" t="str">
        <x:v>cost_domain</x:v>
      </x:c>
      <x:c r="V1" s="14" t="str">
        <x:v>extra_cuff_inflations_per_hour</x:v>
      </x:c>
      <x:c r="W1" s="14" t="str">
        <x:v>modality_burden_note</x:v>
      </x:c>
      <x:c r="X1" s="14" t="str">
        <x:v>pareto_optimal</x:v>
      </x:c>
      <x:c r="Y1" s="14" t="str">
        <x:v>scenario_role</x:v>
      </x:c>
      <x:c r="Z1" s="14" t="str">
        <x:v>phase_convention</x:v>
      </x:c>
      <x:c r="AA1" s="14" t="str">
        <x:v>analysis_sample</x:v>
      </x:c>
      <x:c r="AB1" s="14" t="str">
        <x:v>comparison_baseline</x:v>
      </x:c>
    </x:row>
    <x:row r="2">
      <x:c r="A2" s="8" t="str">
        <x:v>fixed_2_5min</x:v>
      </x:c>
      <x:c r="B2" s="8" t="str">
        <x:v>Fixed every 2.5 min</x:v>
      </x:c>
      <x:c r="C2" s="16" t="n">
        <x:v>65</x:v>
      </x:c>
      <x:c r="D2" s="16" t="n">
        <x:v>2435</x:v>
      </x:c>
      <x:c r="E2" s="18" t="n">
        <x:v>262221.8333333333</x:v>
      </x:c>
      <x:c r="F2" s="18" t="n">
        <x:v>259939.5833333333</x:v>
      </x:c>
      <x:c r="G2" s="18" t="n">
        <x:v>122288.33333333331</x:v>
      </x:c>
      <x:c r="H2" s="18" t="n">
        <x:v>120006.08333333331</x:v>
      </x:c>
      <x:c r="I2" s="18" t="n">
        <x:v>0.4663545051867662</x:v>
      </x:c>
      <x:c r="J2" s="18" t="n">
        <x:v>0.4576509965163084</x:v>
      </x:c>
      <x:c r="K2" s="18" t="n">
        <x:v>-0.0087035086704577</x:v>
      </x:c>
      <x:c r="L2" s="18" t="n">
        <x:v>24</x:v>
      </x:c>
      <x:c r="M2" s="16" t="n">
        <x:v>232789</x:v>
      </x:c>
      <x:c r="N2" s="16" t="n">
        <x:v>0</x:v>
      </x:c>
      <x:c r="O2" s="16" t="n">
        <x:v>0</x:v>
      </x:c>
      <x:c r="P2" s="18" t="n">
        <x:v>0.4663545051867662</x:v>
      </x:c>
      <x:c r="Q2" s="18" t="n">
        <x:v>0.4576509965163084</x:v>
      </x:c>
      <x:c r="R2" s="18" t="n">
        <x:v>0.1278094056495423</x:v>
      </x:c>
      <x:c r="S2" s="18" t="n">
        <x:v>0.2151079917823444</x:v>
      </x:c>
      <x:c r="T2" s="18" t="n">
        <x:v>12</x:v>
      </x:c>
      <x:c r="U2" s="8" t="str">
        <x:v>cuff_cadence</x:v>
      </x:c>
      <x:c r="V2" s="18" t="n">
        <x:v>12</x:v>
      </x:c>
      <x:c r="W2" s="8"/>
      <x:c r="X2" s="28" t="b">
        <x:v>0</x:v>
      </x:c>
      <x:c r="Y2" s="8" t="str">
        <x:v>hypothesis-generating monitoring policy scenario</x:v>
      </x:c>
      <x:c r="Z2" s="8" t="str">
        <x:v>start_anchored_offset_0</x:v>
      </x:c>
      <x:c r="AA2" s="8" t="str">
        <x:v>same 2435-case primary arterial-series cohort</x:v>
      </x:c>
      <x:c r="AB2" s="8" t="str">
        <x:v>fixed_5min_reference under the same start-anchored convention</x:v>
      </x:c>
    </x:row>
    <x:row r="3">
      <x:c r="A3" s="8" t="str">
        <x:v>fixed_3min</x:v>
      </x:c>
      <x:c r="B3" s="8" t="str">
        <x:v>Fixed every 3 min</x:v>
      </x:c>
      <x:c r="C3" s="16" t="n">
        <x:v>65</x:v>
      </x:c>
      <x:c r="D3" s="16" t="n">
        <x:v>2435</x:v>
      </x:c>
      <x:c r="E3" s="18" t="n">
        <x:v>262221.8333333333</x:v>
      </x:c>
      <x:c r="F3" s="18" t="n">
        <x:v>260323.0833333333</x:v>
      </x:c>
      <x:c r="G3" s="18" t="n">
        <x:v>131129.66666666666</x:v>
      </x:c>
      <x:c r="H3" s="18" t="n">
        <x:v>129230.91666666666</x:v>
      </x:c>
      <x:c r="I3" s="18" t="n">
        <x:v>0.5000715043433327</x:v>
      </x:c>
      <x:c r="J3" s="18" t="n">
        <x:v>0.49283049784184</x:v>
      </x:c>
      <x:c r="K3" s="18" t="n">
        <x:v>-0.0072410065014926</x:v>
      </x:c>
      <x:c r="L3" s="18" t="n">
        <x:v>20</x:v>
      </x:c>
      <x:c r="M3" s="16" t="n">
        <x:v>194264</x:v>
      </x:c>
      <x:c r="N3" s="16" t="n">
        <x:v>0</x:v>
      </x:c>
      <x:c r="O3" s="16" t="n">
        <x:v>0</x:v>
      </x:c>
      <x:c r="P3" s="18" t="n">
        <x:v>0.5000715043433327</x:v>
      </x:c>
      <x:c r="Q3" s="18" t="n">
        <x:v>0.49283049784184</x:v>
      </x:c>
      <x:c r="R3" s="18" t="n">
        <x:v>0.0940924064929757</x:v>
      </x:c>
      <x:c r="S3" s="18" t="n">
        <x:v>0.1583610259339668</x:v>
      </x:c>
      <x:c r="T3" s="18" t="n">
        <x:v>8</x:v>
      </x:c>
      <x:c r="U3" s="8" t="str">
        <x:v>cuff_cadence</x:v>
      </x:c>
      <x:c r="V3" s="18" t="n">
        <x:v>8</x:v>
      </x:c>
      <x:c r="W3" s="8"/>
      <x:c r="X3" s="28" t="b">
        <x:v>1</x:v>
      </x:c>
      <x:c r="Y3" s="8" t="str">
        <x:v>hypothesis-generating monitoring policy scenario</x:v>
      </x:c>
      <x:c r="Z3" s="8" t="str">
        <x:v>start_anchored_offset_0</x:v>
      </x:c>
      <x:c r="AA3" s="8" t="str">
        <x:v>same 2435-case primary arterial-series cohort</x:v>
      </x:c>
      <x:c r="AB3" s="8" t="str">
        <x:v>fixed_5min_reference under the same start-anchored convention</x:v>
      </x:c>
    </x:row>
    <x:row r="4">
      <x:c r="A4" s="8" t="str">
        <x:v>fixed_5min_reference</x:v>
      </x:c>
      <x:c r="B4" s="8" t="str">
        <x:v>Fixed every 5 min</x:v>
      </x:c>
      <x:c r="C4" s="16" t="n">
        <x:v>65</x:v>
      </x:c>
      <x:c r="D4" s="16" t="n">
        <x:v>2435</x:v>
      </x:c>
      <x:c r="E4" s="18" t="n">
        <x:v>262221.8333333333</x:v>
      </x:c>
      <x:c r="F4" s="18" t="n">
        <x:v>259725.66666666663</x:v>
      </x:c>
      <x:c r="G4" s="18" t="n">
        <x:v>155802.75</x:v>
      </x:c>
      <x:c r="H4" s="18" t="n">
        <x:v>153306.58333333334</x:v>
      </x:c>
      <x:c r="I4" s="18" t="n">
        <x:v>0.5941639108363085</x:v>
      </x:c>
      <x:c r="J4" s="18" t="n">
        <x:v>0.5846446170576949</x:v>
      </x:c>
      <x:c r="K4" s="18" t="n">
        <x:v>-0.0095192937786136</x:v>
      </x:c>
      <x:c r="L4" s="18" t="n">
        <x:v>12</x:v>
      </x:c>
      <x:c r="M4" s="16" t="n">
        <x:v>116953</x:v>
      </x:c>
      <x:c r="N4" s="16" t="n">
        <x:v>0</x:v>
      </x:c>
      <x:c r="O4" s="16" t="n">
        <x:v>0</x:v>
      </x:c>
      <x:c r="P4" s="18" t="n">
        <x:v>0.5941639108363085</x:v>
      </x:c>
      <x:c r="Q4" s="18" t="n">
        <x:v>0.5846446170576949</x:v>
      </x:c>
      <x:c r="R4" s="18" t="n">
        <x:v>0</x:v>
      </x:c>
      <x:c r="S4" s="18" t="n">
        <x:v>0</x:v>
      </x:c>
      <x:c r="T4" s="18" t="n">
        <x:v>0</x:v>
      </x:c>
      <x:c r="U4" s="8" t="str">
        <x:v>cuff_cadence</x:v>
      </x:c>
      <x:c r="V4" s="18" t="n">
        <x:v>0</x:v>
      </x:c>
      <x:c r="W4" s="8"/>
      <x:c r="X4" s="28" t="b">
        <x:v>1</x:v>
      </x:c>
      <x:c r="Y4" s="8" t="str">
        <x:v>hypothesis-generating monitoring policy scenario</x:v>
      </x:c>
      <x:c r="Z4" s="8" t="str">
        <x:v>start_anchored_offset_0</x:v>
      </x:c>
      <x:c r="AA4" s="8" t="str">
        <x:v>same 2435-case primary arterial-series cohort</x:v>
      </x:c>
      <x:c r="AB4" s="8" t="str">
        <x:v>fixed_5min_reference under the same start-anchored convention</x:v>
      </x:c>
    </x:row>
    <x:row r="5">
      <x:c r="A5" s="8" t="str">
        <x:v>induction_intensified_first20min</x:v>
      </x:c>
      <x:c r="B5" s="8" t="str">
        <x:v>1-min sampling for first 20 min, then 5-min</x:v>
      </x:c>
      <x:c r="C5" s="16" t="n">
        <x:v>65</x:v>
      </x:c>
      <x:c r="D5" s="16" t="n">
        <x:v>2435</x:v>
      </x:c>
      <x:c r="E5" s="18" t="n">
        <x:v>262221.8333333333</x:v>
      </x:c>
      <x:c r="F5" s="18" t="n">
        <x:v>267720.4166666666</x:v>
      </x:c>
      <x:c r="G5" s="18" t="n">
        <x:v>133556.5</x:v>
      </x:c>
      <x:c r="H5" s="18" t="n">
        <x:v>139055.0833333333</x:v>
      </x:c>
      <x:c r="I5" s="18" t="n">
        <x:v>0.5093263909501561</x:v>
      </x:c>
      <x:c r="J5" s="18" t="n">
        <x:v>0.5302955957773666</x:v>
      </x:c>
      <x:c r="K5" s="18" t="n">
        <x:v>0.0209692048272104</x:v>
      </x:c>
      <x:c r="L5" s="18" t="n">
        <x:v>16.95111477605436</x:v>
      </x:c>
      <x:c r="M5" s="16" t="n">
        <x:v>155913</x:v>
      </x:c>
      <x:c r="N5" s="16" t="n">
        <x:v>0</x:v>
      </x:c>
      <x:c r="O5" s="16" t="n">
        <x:v>0</x:v>
      </x:c>
      <x:c r="P5" s="18" t="n">
        <x:v>0.5093263909501561</x:v>
      </x:c>
      <x:c r="Q5" s="18" t="n">
        <x:v>0.5302955957773666</x:v>
      </x:c>
      <x:c r="R5" s="18" t="n">
        <x:v>0.0848375198861524</x:v>
      </x:c>
      <x:c r="S5" s="18" t="n">
        <x:v>0.1427847069451598</x:v>
      </x:c>
      <x:c r="T5" s="18" t="n">
        <x:v>4.951114776054361</x:v>
      </x:c>
      <x:c r="U5" s="8" t="str">
        <x:v>cuff_cadence</x:v>
      </x:c>
      <x:c r="V5" s="18" t="n">
        <x:v>4.951114776054361</x:v>
      </x:c>
      <x:c r="W5" s="8"/>
      <x:c r="X5" s="28" t="b">
        <x:v>1</x:v>
      </x:c>
      <x:c r="Y5" s="8" t="str">
        <x:v>hypothesis-generating monitoring policy scenario</x:v>
      </x:c>
      <x:c r="Z5" s="8" t="str">
        <x:v>start_anchored_offset_0</x:v>
      </x:c>
      <x:c r="AA5" s="8" t="str">
        <x:v>same 2435-case primary arterial-series cohort</x:v>
      </x:c>
      <x:c r="AB5" s="8" t="str">
        <x:v>fixed_5min_reference under the same start-anchored convention</x:v>
      </x:c>
    </x:row>
    <x:row r="6">
      <x:c r="A6" s="8" t="str">
        <x:v>selective_continuous_top20_oof</x:v>
      </x:c>
      <x:c r="B6" s="8" t="str">
        <x:v>OOF high-hidden-risk top 20 percent continuous reference, others 5-min</x:v>
      </x:c>
      <x:c r="C6" s="16" t="n">
        <x:v>65</x:v>
      </x:c>
      <x:c r="D6" s="16" t="n">
        <x:v>2435</x:v>
      </x:c>
      <x:c r="E6" s="18" t="n">
        <x:v>262221.8333333333</x:v>
      </x:c>
      <x:c r="F6" s="18" t="n">
        <x:v>262448.1666666666</x:v>
      </x:c>
      <x:c r="G6" s="18" t="n">
        <x:v>103189.5</x:v>
      </x:c>
      <x:c r="H6" s="18" t="n">
        <x:v>103415.83333333331</x:v>
      </x:c>
      <x:c r="I6" s="18" t="n">
        <x:v>0.3935198632709837</x:v>
      </x:c>
      <x:c r="J6" s="18" t="n">
        <x:v>0.3943830001442799</x:v>
      </x:c>
      <x:c r="K6" s="18" t="n">
        <x:v>0.0008631368732961</x:v>
      </x:c>
      <x:c r="L6" s="18" t="n">
        <x:v>12</x:v>
      </x:c>
      <x:c r="M6" s="16" t="n">
        <x:v>1175731</x:v>
      </x:c>
      <x:c r="N6" s="16" t="n">
        <x:v>0</x:v>
      </x:c>
      <x:c r="O6" s="16" t="n">
        <x:v>487</x:v>
      </x:c>
      <x:c r="P6" s="18" t="n">
        <x:v>0.3935198632709837</x:v>
      </x:c>
      <x:c r="Q6" s="18" t="n">
        <x:v>0.3943830001442799</x:v>
      </x:c>
      <x:c r="R6" s="18" t="n">
        <x:v>0.2006440475653247</x:v>
      </x:c>
      <x:c r="S6" s="18" t="n">
        <x:v>0.3376914078859326</x:v>
      </x:c>
      <x:c r="T6" s="18" t="n">
        <x:v>0</x:v>
      </x:c>
      <x:c r="U6" s="8" t="str">
        <x:v>modality_change</x:v>
      </x:c>
      <x:c r="V6" s="18"/>
      <x:c r="W6" s="8" t="str">
        <x:v>Continuous/reference monitoring changes device/staffing/insertion burden; not comparable as zero-cost cuff cadence.</x:v>
      </x:c>
      <x:c r="X6" s="28" t="b">
        <x:v>0</x:v>
      </x:c>
      <x:c r="Y6" s="8" t="str">
        <x:v>hypothesis-generating monitoring policy scenario</x:v>
      </x:c>
      <x:c r="Z6" s="8" t="str">
        <x:v>start_anchored_offset_0</x:v>
      </x:c>
      <x:c r="AA6" s="8" t="str">
        <x:v>same 2435-case primary arterial-series cohort</x:v>
      </x:c>
      <x:c r="AB6" s="8" t="str">
        <x:v>fixed_5min_reference under the same start-anchored convention</x:v>
      </x:c>
    </x:row>
    <x:row r="7">
      <x:c r="A7" s="8" t="str">
        <x:v>threshold_triggered_adaptive</x:v>
      </x:c>
      <x:c r="B7" s="8" t="str">
        <x:v>Rule-based 1-min escalation after displayed MAP &lt;70</x:v>
      </x:c>
      <x:c r="C7" s="16" t="n">
        <x:v>65</x:v>
      </x:c>
      <x:c r="D7" s="16" t="n">
        <x:v>2435</x:v>
      </x:c>
      <x:c r="E7" s="18" t="n">
        <x:v>262221.8333333333</x:v>
      </x:c>
      <x:c r="F7" s="18" t="n">
        <x:v>191500.41666666663</x:v>
      </x:c>
      <x:c r="G7" s="18" t="n">
        <x:v>117483.91666666666</x:v>
      </x:c>
      <x:c r="H7" s="18" t="n">
        <x:v>46762.5</x:v>
      </x:c>
      <x:c r="I7" s="18" t="n">
        <x:v>0.4480325500482733</x:v>
      </x:c>
      <x:c r="J7" s="18" t="n">
        <x:v>0.1783318322717851</x:v>
      </x:c>
      <x:c r="K7" s="18" t="n">
        <x:v>-0.2697007177764882</x:v>
      </x:c>
      <x:c r="L7" s="18" t="n">
        <x:v>20.81970167278465</x:v>
      </x:c>
      <x:c r="M7" s="16" t="n">
        <x:v>202242</x:v>
      </x:c>
      <x:c r="N7" s="16" t="n">
        <x:v>65982</x:v>
      </x:c>
      <x:c r="O7" s="16" t="n">
        <x:v>0</x:v>
      </x:c>
      <x:c r="P7" s="18" t="n">
        <x:v>0.4480325500482733</x:v>
      </x:c>
      <x:c r="Q7" s="18" t="n">
        <x:v>0.1783318322717851</x:v>
      </x:c>
      <x:c r="R7" s="18" t="n">
        <x:v>0.1461313607880351</x:v>
      </x:c>
      <x:c r="S7" s="18" t="n">
        <x:v>0.245944524941526</x:v>
      </x:c>
      <x:c r="T7" s="18" t="n">
        <x:v>8.81970167278465</x:v>
      </x:c>
      <x:c r="U7" s="8" t="str">
        <x:v>cuff_cadence</x:v>
      </x:c>
      <x:c r="V7" s="18" t="n">
        <x:v>8.81970167278465</x:v>
      </x:c>
      <x:c r="W7" s="8"/>
      <x:c r="X7" s="28" t="b">
        <x:v>1</x:v>
      </x:c>
      <x:c r="Y7" s="8" t="str">
        <x:v>hypothesis-generating monitoring policy scenario</x:v>
      </x:c>
      <x:c r="Z7" s="8" t="str">
        <x:v>start_anchored_offset_0</x:v>
      </x:c>
      <x:c r="AA7" s="8" t="str">
        <x:v>same 2435-case primary arterial-series cohort</x:v>
      </x:c>
      <x:c r="AB7" s="8" t="str">
        <x:v>fixed_5min_reference under the same start-anchored convention</x:v>
      </x:c>
    </x:row>
    <x:row r="8">
      <x:c r="A8" s="8" t="str">
        <x:v>trend_triggered_adaptive</x:v>
      </x:c>
      <x:c r="B8" s="8" t="str">
        <x:v>Rule-based 1-min escalation after a &gt;=8-mm Hg fall or MAP &lt;75</x:v>
      </x:c>
      <x:c r="C8" s="16" t="n">
        <x:v>65</x:v>
      </x:c>
      <x:c r="D8" s="16" t="n">
        <x:v>2435</x:v>
      </x:c>
      <x:c r="E8" s="18" t="n">
        <x:v>262221.8333333333</x:v>
      </x:c>
      <x:c r="F8" s="18" t="n">
        <x:v>211240.91666666663</x:v>
      </x:c>
      <x:c r="G8" s="18" t="n">
        <x:v>106251.33333333334</x:v>
      </x:c>
      <x:c r="H8" s="18" t="n">
        <x:v>55270.416666666664</x:v>
      </x:c>
      <x:c r="I8" s="18" t="n">
        <x:v>0.4051963636386749</x:v>
      </x:c>
      <x:c r="J8" s="18" t="n">
        <x:v>0.2107773253053553</x:v>
      </x:c>
      <x:c r="K8" s="18" t="n">
        <x:v>-0.1944190383333196</x:v>
      </x:c>
      <x:c r="L8" s="18" t="n">
        <x:v>27.88529822636406</x:v>
      </x:c>
      <x:c r="M8" s="16" t="n">
        <x:v>271759</x:v>
      </x:c>
      <x:c r="N8" s="16" t="n">
        <x:v>141414</x:v>
      </x:c>
      <x:c r="O8" s="16" t="n">
        <x:v>0</x:v>
      </x:c>
      <x:c r="P8" s="18" t="n">
        <x:v>0.4051963636386749</x:v>
      </x:c>
      <x:c r="Q8" s="18" t="n">
        <x:v>0.2107773253053553</x:v>
      </x:c>
      <x:c r="R8" s="18" t="n">
        <x:v>0.1889675471976335</x:v>
      </x:c>
      <x:c r="S8" s="18" t="n">
        <x:v>0.3180394227102324</x:v>
      </x:c>
      <x:c r="T8" s="18" t="n">
        <x:v>15.88529822636406</x:v>
      </x:c>
      <x:c r="U8" s="8" t="str">
        <x:v>cuff_cadence</x:v>
      </x:c>
      <x:c r="V8" s="18" t="n">
        <x:v>15.88529822636406</x:v>
      </x:c>
      <x:c r="W8" s="8"/>
      <x:c r="X8" s="28" t="b">
        <x:v>1</x:v>
      </x:c>
      <x:c r="Y8" s="8" t="str">
        <x:v>hypothesis-generating monitoring policy scenario</x:v>
      </x:c>
      <x:c r="Z8" s="8" t="str">
        <x:v>start_anchored_offset_0</x:v>
      </x:c>
      <x:c r="AA8" s="8" t="str">
        <x:v>same 2435-case primary arterial-series cohort</x:v>
      </x:c>
      <x:c r="AB8" s="8" t="str">
        <x:v>fixed_5min_reference under the same start-anchored convention</x:v>
      </x:c>
    </x:row>
    <x:row r="9">
      <x:c r="A9" s="8" t="str">
        <x:v>universal_1min_proxy</x:v>
      </x:c>
      <x:c r="B9" s="8" t="str">
        <x:v>Fixed every 1 min proxy</x:v>
      </x:c>
      <x:c r="C9" s="16" t="n">
        <x:v>65</x:v>
      </x:c>
      <x:c r="D9" s="16" t="n">
        <x:v>2435</x:v>
      </x:c>
      <x:c r="E9" s="18" t="n">
        <x:v>262221.8333333333</x:v>
      </x:c>
      <x:c r="F9" s="18" t="n">
        <x:v>258547.5</x:v>
      </x:c>
      <x:c r="G9" s="18" t="n">
        <x:v>79110.08333333331</x:v>
      </x:c>
      <x:c r="H9" s="18" t="n">
        <x:v>75435.75</x:v>
      </x:c>
      <x:c r="I9" s="18" t="n">
        <x:v>0.3016914431864623</x:v>
      </x:c>
      <x:c r="J9" s="18" t="n">
        <x:v>0.2876791342699025</x:v>
      </x:c>
      <x:c r="K9" s="18" t="n">
        <x:v>-0.0140123089165597</x:v>
      </x:c>
      <x:c r="L9" s="18" t="n">
        <x:v>60</x:v>
      </x:c>
      <x:c r="M9" s="16" t="n">
        <x:v>580271</x:v>
      </x:c>
      <x:c r="N9" s="16" t="n">
        <x:v>0</x:v>
      </x:c>
      <x:c r="O9" s="16" t="n">
        <x:v>0</x:v>
      </x:c>
      <x:c r="P9" s="18" t="n">
        <x:v>0.3016914431864623</x:v>
      </x:c>
      <x:c r="Q9" s="18" t="n">
        <x:v>0.2876791342699025</x:v>
      </x:c>
      <x:c r="R9" s="18" t="n">
        <x:v>0.2924724676498462</x:v>
      </x:c>
      <x:c r="S9" s="18" t="n">
        <x:v>0.4922420603401845</x:v>
      </x:c>
      <x:c r="T9" s="18" t="n">
        <x:v>48</x:v>
      </x:c>
      <x:c r="U9" s="8" t="str">
        <x:v>cuff_cadence</x:v>
      </x:c>
      <x:c r="V9" s="18" t="n">
        <x:v>48</x:v>
      </x:c>
      <x:c r="W9" s="8"/>
      <x:c r="X9" s="28" t="b">
        <x:v>1</x:v>
      </x:c>
      <x:c r="Y9" s="8" t="str">
        <x:v>hypothesis-generating monitoring policy scenario</x:v>
      </x:c>
      <x:c r="Z9" s="8" t="str">
        <x:v>start_anchored_offset_0</x:v>
      </x:c>
      <x:c r="AA9" s="8" t="str">
        <x:v>same 2435-case primary arterial-series cohort</x:v>
      </x:c>
      <x:c r="AB9" s="8" t="str">
        <x:v>fixed_5min_reference under the same start-anchored convention</x:v>
      </x:c>
    </x:row>
    <x:row r="10">
      <x:c r="A10" s="8" t="str">
        <x:v>universal_continuous_reference</x:v>
      </x:c>
      <x:c r="B10" s="8" t="str">
        <x:v>All cases continuously observed; theoretical upper reference</x:v>
      </x:c>
      <x:c r="C10" s="16" t="n">
        <x:v>65</x:v>
      </x:c>
      <x:c r="D10" s="16" t="n">
        <x:v>2435</x:v>
      </x:c>
      <x:c r="E10" s="18" t="n">
        <x:v>262221.8333333333</x:v>
      </x:c>
      <x:c r="F10" s="18" t="n">
        <x:v>262221.8333333333</x:v>
      </x:c>
      <x:c r="G10" s="18" t="n">
        <x:v>0</x:v>
      </x:c>
      <x:c r="H10" s="18" t="n">
        <x:v>0</x:v>
      </x:c>
      <x:c r="I10" s="18" t="n">
        <x:v>0</x:v>
      </x:c>
      <x:c r="J10" s="18" t="n">
        <x:v>0</x:v>
      </x:c>
      <x:c r="K10" s="18" t="n">
        <x:v>0</x:v>
      </x:c>
      <x:c r="L10" s="18"/>
      <x:c r="M10" s="16" t="n">
        <x:v>3476213</x:v>
      </x:c>
      <x:c r="N10" s="16" t="n">
        <x:v>0</x:v>
      </x:c>
      <x:c r="O10" s="16" t="n">
        <x:v>2435</x:v>
      </x:c>
      <x:c r="P10" s="18" t="n">
        <x:v>0</x:v>
      </x:c>
      <x:c r="Q10" s="18" t="n">
        <x:v>0</x:v>
      </x:c>
      <x:c r="R10" s="18" t="n">
        <x:v>0.5941639108363085</x:v>
      </x:c>
      <x:c r="S10" s="18" t="n">
        <x:v>1</x:v>
      </x:c>
      <x:c r="T10" s="18"/>
      <x:c r="U10" s="8" t="str">
        <x:v>modality_change</x:v>
      </x:c>
      <x:c r="V10" s="18"/>
      <x:c r="W10" s="8" t="str">
        <x:v>Continuous/reference monitoring changes device/staffing/insertion burden; not comparable as zero-cost cuff cadence.</x:v>
      </x:c>
      <x:c r="X10" s="28" t="b">
        <x:v>1</x:v>
      </x:c>
      <x:c r="Y10" s="8" t="str">
        <x:v>hypothesis-generating monitoring policy scenario</x:v>
      </x:c>
      <x:c r="Z10" s="8" t="str">
        <x:v>start_anchored_offset_0</x:v>
      </x:c>
      <x:c r="AA10" s="8" t="str">
        <x:v>same 2435-case primary arterial-series cohort</x:v>
      </x:c>
      <x:c r="AB10" s="8" t="str">
        <x:v>fixed_5min_reference under the same start-anchored convention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9" hidden="0" customWidth="1"/>
    <x:col min="5" max="5" width="20" hidden="0" customWidth="1"/>
    <x:col min="6" max="6" width="20" hidden="0" customWidth="1"/>
    <x:col min="7" max="7" width="23" hidden="0" customWidth="1"/>
    <x:col min="8" max="8" width="21" hidden="0" customWidth="1"/>
    <x:col min="9" max="9" width="21" hidden="0" customWidth="1"/>
    <x:col min="10" max="10" width="23" hidden="0" customWidth="1"/>
    <x:col min="11" max="11" width="34" hidden="0" customWidth="1"/>
    <x:col min="12" max="12" width="32" hidden="0" customWidth="1"/>
    <x:col min="13" max="13" width="30" hidden="0" customWidth="1"/>
    <x:col min="14" max="14" width="21" hidden="0" customWidth="1"/>
    <x:col min="15" max="15" width="21" hidden="0" customWidth="1"/>
    <x:col min="16" max="16" width="27" hidden="0" customWidth="1"/>
    <x:col min="17" max="17" width="30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30" hidden="0" customWidth="1"/>
    <x:col min="26" max="26" width="21" hidden="0" customWidth="1"/>
    <x:col min="27" max="27" width="21" hidden="0" customWidth="1"/>
    <x:col min="28" max="28" width="21" hidden="0" customWidth="1"/>
    <x:col min="29" max="29" width="21" hidden="0" customWidth="1"/>
    <x:col min="30" max="30" width="21" hidden="0" customWidth="1"/>
    <x:col min="31" max="31" width="23" hidden="0" customWidth="1"/>
    <x:col min="32" max="32" width="23" hidden="0" customWidth="1"/>
    <x:col min="33" max="33" width="26" hidden="0" customWidth="1"/>
    <x:col min="34" max="34" width="27" hidden="0" customWidth="1"/>
    <x:col min="35" max="35" width="26" hidden="0" customWidth="1"/>
    <x:col min="36" max="36" width="27" hidden="0" customWidth="1"/>
    <x:col min="37" max="37" width="34" hidden="0" customWidth="1"/>
    <x:col min="38" max="38" width="34" hidden="0" customWidth="1"/>
    <x:col min="39" max="39" width="34" hidden="0" customWidth="1"/>
    <x:col min="40" max="40" width="34" hidden="0" customWidth="1"/>
    <x:col min="41" max="41" width="34" hidden="0" customWidth="1"/>
    <x:col min="42" max="42" width="34" hidden="0" customWidth="1"/>
    <x:col min="43" max="43" width="34" hidden="0" customWidth="1"/>
    <x:col min="44" max="44" width="34" hidden="0" customWidth="1"/>
    <x:col min="45" max="45" width="34" hidden="0" customWidth="1"/>
    <x:col min="46" max="46" width="34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HDR</x:v>
      </x:c>
      <x:c r="I1" s="14" t="str">
        <x:v>ODR</x:v>
      </x:c>
      <x:c r="J1" s="14" t="str">
        <x:v>NetBias</x:v>
      </x:c>
      <x:c r="K1" s="14" t="str">
        <x:v>hidden_auc_display_unavailable_total</x:v>
      </x:c>
      <x:c r="L1" s="14" t="str">
        <x:v>hidden_auc_display_valid_total</x:v>
      </x:c>
      <x:c r="M1" s="14" t="str">
        <x:v>true_auc_display_valid_total</x:v>
      </x:c>
      <x:c r="N1" s="14" t="str">
        <x:v>HDR_display_valid</x:v>
      </x:c>
      <x:c r="O1" s="14" t="str">
        <x:v>ODR_display_valid</x:v>
      </x:c>
      <x:c r="P1" s="14" t="str">
        <x:v>HDR_unavailable_component</x:v>
      </x:c>
      <x:c r="Q1" s="14" t="str">
        <x:v>HDR_valid_mismatch_component</x:v>
      </x:c>
      <x:c r="R1" s="14" t="str">
        <x:v>normotensive_display_discordance_min</x:v>
      </x:c>
      <x:c r="S1" s="14" t="str">
        <x:v>hypotensive_display_discordance_min</x:v>
      </x:c>
      <x:c r="T1" s="14" t="str">
        <x:v>reference_hypotension_with_display_unavailable_min</x:v>
      </x:c>
      <x:c r="U1" s="14" t="str">
        <x:v>normotensive_display_min_per_anesthesia_hour</x:v>
      </x:c>
      <x:c r="V1" s="14" t="str">
        <x:v>normotensive_display_discordance_min_per_anesthesia_hour</x:v>
      </x:c>
      <x:c r="W1" s="14" t="str">
        <x:v>hypotensive_display_discordance_min_per_anesthesia_hour</x:v>
      </x:c>
      <x:c r="X1" s="14" t="str">
        <x:v>reference_hypotension_with_display_unavailable_min_per_anesthesia_hour</x:v>
      </x:c>
      <x:c r="Y1" s="14" t="str">
        <x:v>display_unavailable_fraction</x:v>
      </x:c>
      <x:c r="Z1" s="14" t="str">
        <x:v>episode_sensitivity</x:v>
      </x:c>
      <x:c r="AA1" s="14" t="str">
        <x:v>HDR_ci_low</x:v>
      </x:c>
      <x:c r="AB1" s="14" t="str">
        <x:v>HDR_ci_high</x:v>
      </x:c>
      <x:c r="AC1" s="14" t="str">
        <x:v>ODR_ci_low</x:v>
      </x:c>
      <x:c r="AD1" s="14" t="str">
        <x:v>ODR_ci_high</x:v>
      </x:c>
      <x:c r="AE1" s="14" t="str">
        <x:v>NetBias_ci_low</x:v>
      </x:c>
      <x:c r="AF1" s="14" t="str">
        <x:v>NetBias_ci_high</x:v>
      </x:c>
      <x:c r="AG1" s="14" t="str">
        <x:v>HDR_display_valid_ci_low</x:v>
      </x:c>
      <x:c r="AH1" s="14" t="str">
        <x:v>HDR_display_valid_ci_high</x:v>
      </x:c>
      <x:c r="AI1" s="14" t="str">
        <x:v>ODR_display_valid_ci_low</x:v>
      </x:c>
      <x:c r="AJ1" s="14" t="str">
        <x:v>ODR_display_valid_ci_high</x:v>
      </x:c>
      <x:c r="AK1" s="14" t="str">
        <x:v>HDR_unavailable_component_ci_low</x:v>
      </x:c>
      <x:c r="AL1" s="14" t="str">
        <x:v>HDR_unavailable_component_ci_high</x:v>
      </x:c>
      <x:c r="AM1" s="14" t="str">
        <x:v>HDR_valid_mismatch_component_ci_low</x:v>
      </x:c>
      <x:c r="AN1" s="14" t="str">
        <x:v>HDR_valid_mismatch_component_ci_high</x:v>
      </x:c>
      <x:c r="AO1" s="14" t="str">
        <x:v>normotensive_display_discordance_ci_low</x:v>
      </x:c>
      <x:c r="AP1" s="14" t="str">
        <x:v>normotensive_display_discordance_ci_high</x:v>
      </x:c>
      <x:c r="AQ1" s="14" t="str">
        <x:v>hypotensive_display_discordance_ci_low</x:v>
      </x:c>
      <x:c r="AR1" s="14" t="str">
        <x:v>hypotensive_display_discordance_ci_high</x:v>
      </x:c>
      <x:c r="AS1" s="14" t="str">
        <x:v>reference_hypotension_with_display_unavailable_ci_low</x:v>
      </x:c>
      <x:c r="AT1" s="14" t="str">
        <x:v>reference_hypotension_with_display_unavailable_ci_high</x:v>
      </x:c>
    </x:row>
    <x:row r="2">
      <x:c r="A2" s="16" t="n">
        <x:v>55</x:v>
      </x:c>
      <x:c r="B2" s="18" t="n">
        <x:v>1</x:v>
      </x:c>
      <x:c r="C2" s="16" t="n">
        <x:v>2435</x:v>
      </x:c>
      <x:c r="D2" s="18" t="n">
        <x:v>65826.83333333333</x:v>
      </x:c>
      <x:c r="E2" s="18" t="n">
        <x:v>62557.09722222222</x:v>
      </x:c>
      <x:c r="F2" s="18" t="n">
        <x:v>32430.347222222223</x:v>
      </x:c>
      <x:c r="G2" s="18" t="n">
        <x:v>29160.61111111111</x:v>
      </x:c>
      <x:c r="H2" s="18" t="n">
        <x:v>0.49266151172731826</x:v>
      </x:c>
      <x:c r="I2" s="18" t="n">
        <x:v>0.4429897297876668</x:v>
      </x:c>
      <x:c r="J2" s="18" t="n">
        <x:v>-0.04967178193965146</x:v>
      </x:c>
      <x:c r="K2" s="18" t="n">
        <x:v>11824.055555555555</x:v>
      </x:c>
      <x:c r="L2" s="18" t="n">
        <x:v>20606.291666666664</x:v>
      </x:c>
      <x:c r="M2" s="18" t="n">
        <x:v>54002.777777777774</x:v>
      </x:c>
      <x:c r="N2" s="18" t="n">
        <x:v>0.3815783653104264</x:v>
      </x:c>
      <x:c r="O2" s="18" t="n">
        <x:v>0.5399835399413611</x:v>
      </x:c>
      <x:c r="P2" s="18" t="n">
        <x:v>0.17962364216551338</x:v>
      </x:c>
      <x:c r="Q2" s="18" t="n">
        <x:v>0.31303786956180485</x:v>
      </x:c>
      <x:c r="R2" s="18" t="n">
        <x:v>1862.4444444444443</x:v>
      </x:c>
      <x:c r="S2" s="18" t="n">
        <x:v>2221.5</x:v>
      </x:c>
      <x:c r="T2" s="18" t="n">
        <x:v>484.3611111111111</x:v>
      </x:c>
      <x:c r="U2" s="18" t="n">
        <x:v>0.19287655848476487</x:v>
      </x:c>
      <x:c r="V2" s="18" t="n">
        <x:v>0.19287655848476487</x:v>
      </x:c>
      <x:c r="W2" s="18" t="n">
        <x:v>0.23006070111353938</x:v>
      </x:c>
      <x:c r="X2" s="18" t="n">
        <x:v>0.050160907861514815</x:v>
      </x:c>
      <x:c r="Y2" s="18" t="n">
        <x:v>0.002082013447774392</x:v>
      </x:c>
      <x:c r="Z2" s="18" t="n">
        <x:v>1</x:v>
      </x:c>
      <x:c r="AA2" s="18" t="n">
        <x:v>0.4717328764207174</x:v>
      </x:c>
      <x:c r="AB2" s="18" t="n">
        <x:v>0.5127545564803715</x:v>
      </x:c>
      <x:c r="AC2" s="18" t="n">
        <x:v>0.42353484592397456</x:v>
      </x:c>
      <x:c r="AD2" s="18" t="n">
        <x:v>0.46078179503807665</x:v>
      </x:c>
      <x:c r="AE2" s="18" t="n">
        <x:v>-0.0540998537827277</x:v>
      </x:c>
      <x:c r="AF2" s="18" t="n">
        <x:v>-0.04553501565217803</x:v>
      </x:c>
      <x:c r="AG2" s="18" t="n">
        <x:v>0.36089413069937504</x:v>
      </x:c>
      <x:c r="AH2" s="18" t="n">
        <x:v>0.4007178435897861</x:v>
      </x:c>
      <x:c r="AI2" s="18" t="n">
        <x:v>0.5123818114698664</x:v>
      </x:c>
      <x:c r="AJ2" s="18" t="n">
        <x:v>0.5670186311340546</x:v>
      </x:c>
      <x:c r="AK2" s="18" t="n">
        <x:v>0.16960266581879824</x:v>
      </x:c>
      <x:c r="AL2" s="18" t="n">
        <x:v>0.1910220265247595</x:v>
      </x:c>
      <x:c r="AM2" s="18" t="n">
        <x:v>0.29760669307206505</x:v>
      </x:c>
      <x:c r="AN2" s="18" t="n">
        <x:v>0.32736829382747684</x:v>
      </x:c>
      <x:c r="AO2" s="18" t="n">
        <x:v>0.18246984263235633</x:v>
      </x:c>
      <x:c r="AP2" s="18" t="n">
        <x:v>0.20417666955589667</x:v>
      </x:c>
      <x:c r="AQ2" s="18" t="n">
        <x:v>0.21977344623995623</x:v>
      </x:c>
      <x:c r="AR2" s="18" t="n">
        <x:v>0.24151544117028417</x:v>
      </x:c>
      <x:c r="AS2" s="18" t="n">
        <x:v>0.04840901951126233</x:v>
      </x:c>
      <x:c r="AT2" s="18" t="n">
        <x:v>0.05206593300848691</x:v>
      </x:c>
    </x:row>
    <x:row r="3">
      <x:c r="A3" s="16" t="n">
        <x:v>55</x:v>
      </x:c>
      <x:c r="B3" s="18" t="n">
        <x:v>2.5</x:v>
      </x:c>
      <x:c r="C3" s="16" t="n">
        <x:v>2435</x:v>
      </x:c>
      <x:c r="D3" s="18" t="n">
        <x:v>65826.83333333333</x:v>
      </x:c>
      <x:c r="E3" s="18" t="n">
        <x:v>61718.88888888889</x:v>
      </x:c>
      <x:c r="F3" s="18" t="n">
        <x:v>44952.83888888889</x:v>
      </x:c>
      <x:c r="G3" s="18" t="n">
        <x:v>40844.894444444435</x:v>
      </x:c>
      <x:c r="H3" s="18" t="n">
        <x:v>0.6828953576007083</x:v>
      </x:c>
      <x:c r="I3" s="18" t="n">
        <x:v>0.6204900399448721</x:v>
      </x:c>
      <x:c r="J3" s="18" t="n">
        <x:v>-0.062405317655836186</x:v>
      </x:c>
      <x:c r="K3" s="18" t="n">
        <x:v>18946.19444444444</x:v>
      </x:c>
      <x:c r="L3" s="18" t="n">
        <x:v>26006.644444444442</x:v>
      </x:c>
      <x:c r="M3" s="18" t="n">
        <x:v>46880.63888888889</x:v>
      </x:c>
      <x:c r="N3" s="18" t="n">
        <x:v>0.5547416814451357</x:v>
      </x:c>
      <x:c r="O3" s="18" t="n">
        <x:v>0.8712529396463712</x:v>
      </x:c>
      <x:c r="P3" s="18" t="n">
        <x:v>0.2878187129024553</x:v>
      </x:c>
      <x:c r="Q3" s="18" t="n">
        <x:v>0.39507664469825293</x:v>
      </x:c>
      <x:c r="R3" s="18" t="n">
        <x:v>2709.844444444444</x:v>
      </x:c>
      <x:c r="S3" s="18" t="n">
        <x:v>3364.4666666666662</x:v>
      </x:c>
      <x:c r="T3" s="18" t="n">
        <x:v>813.0111111111111</x:v>
      </x:c>
      <x:c r="U3" s="18" t="n">
        <x:v>0.2806341268501095</x:v>
      </x:c>
      <x:c r="V3" s="18" t="n">
        <x:v>0.2806341268501095</x:v>
      </x:c>
      <x:c r="W3" s="18" t="n">
        <x:v>0.34842744101123835</x:v>
      </x:c>
      <x:c r="X3" s="18" t="n">
        <x:v>0.08419622157790677</x:v>
      </x:c>
      <x:c r="Y3" s="18" t="n">
        <x:v>0.005628978512184807</x:v>
      </x:c>
      <x:c r="Z3" s="18" t="n">
        <x:v>0.7519071310116087</x:v>
      </x:c>
      <x:c r="AA3" s="18" t="n">
        <x:v>0.6585083870467846</x:v>
      </x:c>
      <x:c r="AB3" s="18" t="n">
        <x:v>0.7051092363208078</x:v>
      </x:c>
      <x:c r="AC3" s="18" t="n">
        <x:v>0.5984429589618717</x:v>
      </x:c>
      <x:c r="AD3" s="18" t="n">
        <x:v>0.6405279201369606</x:v>
      </x:c>
      <x:c r="AE3" s="18" t="n">
        <x:v>-0.06799982394987163</x:v>
      </x:c>
      <x:c r="AF3" s="18" t="n">
        <x:v>-0.05687245695878482</x:v>
      </x:c>
      <x:c r="AG3" s="18" t="n">
        <x:v>0.5265902523113513</x:v>
      </x:c>
      <x:c r="AH3" s="18" t="n">
        <x:v>0.5811115590138931</x:v>
      </x:c>
      <x:c r="AI3" s="18" t="n">
        <x:v>0.8280631796692735</x:v>
      </x:c>
      <x:c r="AJ3" s="18" t="n">
        <x:v>0.9142810701031789</x:v>
      </x:c>
      <x:c r="AK3" s="18" t="n">
        <x:v>0.2719639825772757</x:v>
      </x:c>
      <x:c r="AL3" s="18" t="n">
        <x:v>0.3030969671039165</x:v>
      </x:c>
      <x:c r="AM3" s="18" t="n">
        <x:v>0.3775066078309294</x:v>
      </x:c>
      <x:c r="AN3" s="18" t="n">
        <x:v>0.41233582414835473</x:v>
      </x:c>
      <x:c r="AO3" s="18" t="n">
        <x:v>0.2644098159722509</x:v>
      </x:c>
      <x:c r="AP3" s="18" t="n">
        <x:v>0.29800245643047446</x:v>
      </x:c>
      <x:c r="AQ3" s="18" t="n">
        <x:v>0.33180451837254804</x:v>
      </x:c>
      <x:c r="AR3" s="18" t="n">
        <x:v>0.36669005156424794</x:v>
      </x:c>
      <x:c r="AS3" s="18" t="n">
        <x:v>0.08063461069074669</x:v>
      </x:c>
      <x:c r="AT3" s="18" t="n">
        <x:v>0.08772755315918365</x:v>
      </x:c>
    </x:row>
    <x:row r="4">
      <x:c r="A4" s="16" t="n">
        <x:v>55</x:v>
      </x:c>
      <x:c r="B4" s="18" t="n">
        <x:v>3</x:v>
      </x:c>
      <x:c r="C4" s="16" t="n">
        <x:v>2435</x:v>
      </x:c>
      <x:c r="D4" s="18" t="n">
        <x:v>65826.83333333333</x:v>
      </x:c>
      <x:c r="E4" s="18" t="n">
        <x:v>61580.22222222222</x:v>
      </x:c>
      <x:c r="F4" s="18" t="n">
        <x:v>47019.31018518518</x:v>
      </x:c>
      <x:c r="G4" s="18" t="n">
        <x:v>42772.69907407407</x:v>
      </x:c>
      <x:c r="H4" s="18" t="n">
        <x:v>0.7142878945291082</x:v>
      </x:c>
      <x:c r="I4" s="18" t="n">
        <x:v>0.6497760397721407</x:v>
      </x:c>
      <x:c r="J4" s="18" t="n">
        <x:v>-0.06451185475696755</x:v>
      </x:c>
      <x:c r="K4" s="18" t="n">
        <x:v>20280.88888888889</x:v>
      </x:c>
      <x:c r="L4" s="18" t="n">
        <x:v>26738.421296296296</x:v>
      </x:c>
      <x:c r="M4" s="18" t="n">
        <x:v>45545.94444444444</x:v>
      </x:c>
      <x:c r="N4" s="18" t="n">
        <x:v>0.5870648116411552</x:v>
      </x:c>
      <x:c r="O4" s="18" t="n">
        <x:v>0.9391110360275198</x:v>
      </x:c>
      <x:c r="P4" s="18" t="n">
        <x:v>0.3080945544834385</x:v>
      </x:c>
      <x:c r="Q4" s="18" t="n">
        <x:v>0.4061933400456698</x:v>
      </x:c>
      <x:c r="R4" s="18" t="n">
        <x:v>2862.675925925926</x:v>
      </x:c>
      <x:c r="S4" s="18" t="n">
        <x:v>3580.2129629629626</x:v>
      </x:c>
      <x:c r="T4" s="18" t="n">
        <x:v>882.4814814814814</x:v>
      </x:c>
      <x:c r="U4" s="18" t="n">
        <x:v>0.29646150374943464</x:v>
      </x:c>
      <x:c r="V4" s="18" t="n">
        <x:v>0.29646150374943464</x:v>
      </x:c>
      <x:c r="W4" s="18" t="n">
        <x:v>0.3707703373374033</x:v>
      </x:c>
      <x:c r="X4" s="18" t="n">
        <x:v>0.09139064071543755</x:v>
      </x:c>
      <x:c r="Y4" s="18" t="n">
        <x:v>0.006819282582848449</x:v>
      </x:c>
      <x:c r="Z4" s="18" t="n">
        <x:v>0.683605780620706</x:v>
      </x:c>
      <x:c r="AA4" s="18" t="n">
        <x:v>0.6904980046308838</x:v>
      </x:c>
      <x:c r="AB4" s="18" t="n">
        <x:v>0.7377268194962168</x:v>
      </x:c>
      <x:c r="AC4" s="18" t="n">
        <x:v>0.6276061921095174</x:v>
      </x:c>
      <x:c r="AD4" s="18" t="n">
        <x:v>0.6701912669636111</x:v>
      </x:c>
      <x:c r="AE4" s="18" t="n">
        <x:v>-0.07094171486384315</x:v>
      </x:c>
      <x:c r="AF4" s="18" t="n">
        <x:v>-0.05879402923933055</x:v>
      </x:c>
      <x:c r="AG4" s="18" t="n">
        <x:v>0.5568469881835648</x:v>
      </x:c>
      <x:c r="AH4" s="18" t="n">
        <x:v>0.6150056180271516</x:v>
      </x:c>
      <x:c r="AI4" s="18" t="n">
        <x:v>0.8944405028544276</x:v>
      </x:c>
      <x:c r="AJ4" s="18" t="n">
        <x:v>0.987261985751229</x:v>
      </x:c>
      <x:c r="AK4" s="18" t="n">
        <x:v>0.29280296315041154</x:v>
      </x:c>
      <x:c r="AL4" s="18" t="n">
        <x:v>0.3260384327006635</x:v>
      </x:c>
      <x:c r="AM4" s="18" t="n">
        <x:v>0.38575981808087506</x:v>
      </x:c>
      <x:c r="AN4" s="18" t="n">
        <x:v>0.4247113959798592</x:v>
      </x:c>
      <x:c r="AO4" s="18" t="n">
        <x:v>0.2772518494476365</x:v>
      </x:c>
      <x:c r="AP4" s="18" t="n">
        <x:v>0.3144132161334202</x:v>
      </x:c>
      <x:c r="AQ4" s="18" t="n">
        <x:v>0.35079774886485543</x:v>
      </x:c>
      <x:c r="AR4" s="18" t="n">
        <x:v>0.3893612577318306</x:v>
      </x:c>
      <x:c r="AS4" s="18" t="n">
        <x:v>0.08710148945654458</x:v>
      </x:c>
      <x:c r="AT4" s="18" t="n">
        <x:v>0.09569047479621964</x:v>
      </x:c>
    </x:row>
    <x:row r="5">
      <x:c r="A5" s="16" t="n">
        <x:v>55</x:v>
      </x:c>
      <x:c r="B5" s="18" t="n">
        <x:v>5</x:v>
      </x:c>
      <x:c r="C5" s="16" t="n">
        <x:v>2435</x:v>
      </x:c>
      <x:c r="D5" s="18" t="n">
        <x:v>65826.83333333333</x:v>
      </x:c>
      <x:c r="E5" s="18" t="n">
        <x:v>61570.11111111111</x:v>
      </x:c>
      <x:c r="F5" s="18" t="n">
        <x:v>52196.225000000006</x:v>
      </x:c>
      <x:c r="G5" s="18" t="n">
        <x:v>47939.50277777777</x:v>
      </x:c>
      <x:c r="H5" s="18" t="n">
        <x:v>0.792932340155104</x:v>
      </x:c>
      <x:c r="I5" s="18" t="n">
        <x:v>0.7282668837345122</x:v>
      </x:c>
      <x:c r="J5" s="18" t="n">
        <x:v>-0.06466545642059192</x:v>
      </x:c>
      <x:c r="K5" s="18" t="n">
        <x:v>24012.73611111111</x:v>
      </x:c>
      <x:c r="L5" s="18" t="n">
        <x:v>28183.48888888889</x:v>
      </x:c>
      <x:c r="M5" s="18" t="n">
        <x:v>41814.09722222222</x:v>
      </x:c>
      <x:c r="N5" s="18" t="n">
        <x:v>0.6740188300397095</x:v>
      </x:c>
      <x:c r="O5" s="18" t="n">
        <x:v>1.1464913979369664</x:v>
      </x:c>
      <x:c r="P5" s="18" t="n">
        <x:v>0.3647864388298254</x:v>
      </x:c>
      <x:c r="Q5" s="18" t="n">
        <x:v>0.4281459013252786</x:v>
      </x:c>
      <x:c r="R5" s="18" t="n">
        <x:v>3224.8166666666666</x:v>
      </x:c>
      <x:c r="S5" s="18" t="n">
        <x:v>4146.277777777777</x:v>
      </x:c>
      <x:c r="T5" s="18" t="n">
        <x:v>1092.4833333333333</x:v>
      </x:c>
      <x:c r="U5" s="18" t="n">
        <x:v>0.33396515115730824</x:v>
      </x:c>
      <x:c r="V5" s="18" t="n">
        <x:v>0.33396515115730824</x:v>
      </x:c>
      <x:c r="W5" s="18" t="n">
        <x:v>0.42939256023724665</x:v>
      </x:c>
      <x:c r="X5" s="18" t="n">
        <x:v>0.1131386367866411</x:v>
      </x:c>
      <x:c r="Y5" s="18" t="n">
        <x:v>0.011500936016123715</x:v>
      </x:c>
      <x:c r="Z5" s="18" t="n">
        <x:v>0.50075811419095</x:v>
      </x:c>
      <x:c r="AA5" s="18" t="n">
        <x:v>0.7678969476865211</x:v>
      </x:c>
      <x:c r="AB5" s="18" t="n">
        <x:v>0.8131092099300875</x:v>
      </x:c>
      <x:c r="AC5" s="18" t="n">
        <x:v>0.7056561732009629</x:v>
      </x:c>
      <x:c r="AD5" s="18" t="n">
        <x:v>0.7469690579675997</x:v>
      </x:c>
      <x:c r="AE5" s="18" t="n">
        <x:v>-0.07183907097213026</x:v>
      </x:c>
      <x:c r="AF5" s="18" t="n">
        <x:v>-0.058649429312908195</x:v>
      </x:c>
      <x:c r="AG5" s="18" t="n">
        <x:v>0.640590100239216</x:v>
      </x:c>
      <x:c r="AH5" s="18" t="n">
        <x:v>0.7037332804820352</x:v>
      </x:c>
      <x:c r="AI5" s="18" t="n">
        <x:v>1.0885589749357285</x:v>
      </x:c>
      <x:c r="AJ5" s="18" t="n">
        <x:v>1.2024962383207316</x:v>
      </x:c>
      <x:c r="AK5" s="18" t="n">
        <x:v>0.3453686479643148</x:v>
      </x:c>
      <x:c r="AL5" s="18" t="n">
        <x:v>0.3849269681902266</x:v>
      </x:c>
      <x:c r="AM5" s="18" t="n">
        <x:v>0.40726249713437856</x:v>
      </x:c>
      <x:c r="AN5" s="18" t="n">
        <x:v>0.4487094235192176</x:v>
      </x:c>
      <x:c r="AO5" s="18" t="n">
        <x:v>0.31334060924642376</x:v>
      </x:c>
      <x:c r="AP5" s="18" t="n">
        <x:v>0.3563789314561789</x:v>
      </x:c>
      <x:c r="AQ5" s="18" t="n">
        <x:v>0.40759638645895097</x:v>
      </x:c>
      <x:c r="AR5" s="18" t="n">
        <x:v>0.45341572313263034</x:v>
      </x:c>
      <x:c r="AS5" s="18" t="n">
        <x:v>0.10750534938566957</x:v>
      </x:c>
      <x:c r="AT5" s="18" t="n">
        <x:v>0.11841617960772131</x:v>
      </x:c>
    </x:row>
    <x:row r="6">
      <x:c r="A6" s="16" t="n">
        <x:v>55</x:v>
      </x:c>
      <x:c r="B6" s="18" t="n">
        <x:v>10</x:v>
      </x:c>
      <x:c r="C6" s="16" t="n">
        <x:v>2435</x:v>
      </x:c>
      <x:c r="D6" s="18" t="n">
        <x:v>65826.83333333333</x:v>
      </x:c>
      <x:c r="E6" s="18" t="n">
        <x:v>61455.54861111111</x:v>
      </x:c>
      <x:c r="F6" s="18" t="n">
        <x:v>57233.96111111111</x:v>
      </x:c>
      <x:c r="G6" s="18" t="n">
        <x:v>52862.67638888888</x:v>
      </x:c>
      <x:c r="H6" s="18" t="n">
        <x:v>0.8694624701341821</x:v>
      </x:c>
      <x:c r="I6" s="18" t="n">
        <x:v>0.8030566520069914</x:v>
      </x:c>
      <x:c r="J6" s="18" t="n">
        <x:v>-0.06640581812719068</x:v>
      </x:c>
      <x:c r="K6" s="18" t="n">
        <x:v>28758.1125</x:v>
      </x:c>
      <x:c r="L6" s="18" t="n">
        <x:v>28475.848611111112</x:v>
      </x:c>
      <x:c r="M6" s="18" t="n">
        <x:v>37068.72083333333</x:v>
      </x:c>
      <x:c r="N6" s="18" t="n">
        <x:v>0.7681907541170062</x:v>
      </x:c>
      <x:c r="O6" s="18" t="n">
        <x:v>1.4260723111155522</x:v>
      </x:c>
      <x:c r="P6" s="18" t="n">
        <x:v>0.43687522312329574</x:v>
      </x:c>
      <x:c r="Q6" s="18" t="n">
        <x:v>0.43258724701088636</x:v>
      </x:c>
      <x:c r="R6" s="18" t="n">
        <x:v>3497.1083333333336</x:v>
      </x:c>
      <x:c r="S6" s="18" t="n">
        <x:v>4734.655555555555</x:v>
      </x:c>
      <x:c r="T6" s="18" t="n">
        <x:v>1431.9555555555555</x:v>
      </x:c>
      <x:c r="U6" s="18" t="n">
        <x:v>0.3621639410473409</x:v>
      </x:c>
      <x:c r="V6" s="18" t="n">
        <x:v>0.3621639410473409</x:v>
      </x:c>
      <x:c r="W6" s="18" t="n">
        <x:v>0.49032553528796996</x:v>
      </x:c>
      <x:c r="X6" s="18" t="n">
        <x:v>0.14829471036441091</x:v>
      </x:c>
      <x:c r="Y6" s="18" t="n">
        <x:v>0.023109785562375373</x:v>
      </x:c>
      <x:c r="Z6" s="18" t="n">
        <x:v>0.3127339493011135</x:v>
      </x:c>
      <x:c r="AA6" s="18" t="n">
        <x:v>0.8505865663839545</x:v>
      </x:c>
      <x:c r="AB6" s="18" t="n">
        <x:v>0.8888676313044542</x:v>
      </x:c>
      <x:c r="AC6" s="18" t="n">
        <x:v>0.7858094803732508</x:v>
      </x:c>
      <x:c r="AD6" s="18" t="n">
        <x:v>0.8203015137193459</x:v>
      </x:c>
      <x:c r="AE6" s="18" t="n">
        <x:v>-0.07420906424687536</x:v>
      </x:c>
      <x:c r="AF6" s="18" t="n">
        <x:v>-0.05912890728604223</x:v>
      </x:c>
      <x:c r="AG6" s="18" t="n">
        <x:v>0.7378091394854353</x:v>
      </x:c>
      <x:c r="AH6" s="18" t="n">
        <x:v>0.7990312153355649</x:v>
      </x:c>
      <x:c r="AI6" s="18" t="n">
        <x:v>1.3591300388200387</x:v>
      </x:c>
      <x:c r="AJ6" s="18" t="n">
        <x:v>1.4967575839839151</x:v>
      </x:c>
      <x:c r="AK6" s="18" t="n">
        <x:v>0.41619184496196776</x:v>
      </x:c>
      <x:c r="AL6" s="18" t="n">
        <x:v>0.4577556254655984</x:v>
      </x:c>
      <x:c r="AM6" s="18" t="n">
        <x:v>0.4123373849043761</x:v>
      </x:c>
      <x:c r="AN6" s="18" t="n">
        <x:v>0.4531475479855796</x:v>
      </x:c>
      <x:c r="AO6" s="18" t="n">
        <x:v>0.33560340948193684</x:v>
      </x:c>
      <x:c r="AP6" s="18" t="n">
        <x:v>0.3915570951554207</x:v>
      </x:c>
      <x:c r="AQ6" s="18" t="n">
        <x:v>0.4612068875199601</x:v>
      </x:c>
      <x:c r="AR6" s="18" t="n">
        <x:v>0.5215369253102995</x:v>
      </x:c>
      <x:c r="AS6" s="18" t="n">
        <x:v>0.1407523406521181</x:v>
      </x:c>
      <x:c r="AT6" s="18" t="n">
        <x:v>0.1562292479330387</x:v>
      </x:c>
    </x:row>
    <x:row r="7">
      <x:c r="A7" s="16" t="n">
        <x:v>60</x:v>
      </x:c>
      <x:c r="B7" s="18" t="n">
        <x:v>1</x:v>
      </x:c>
      <x:c r="C7" s="16" t="n">
        <x:v>2435</x:v>
      </x:c>
      <x:c r="D7" s="18" t="n">
        <x:v>120110.5</x:v>
      </x:c>
      <x:c r="E7" s="18" t="n">
        <x:v>116199.31944444444</x:v>
      </x:c>
      <x:c r="F7" s="18" t="n">
        <x:v>49180.19444444444</x:v>
      </x:c>
      <x:c r="G7" s="18" t="n">
        <x:v>45269.01388888888</x:v>
      </x:c>
      <x:c r="H7" s="18" t="n">
        <x:v>0.409457911210464</x:v>
      </x:c>
      <x:c r="I7" s="18" t="n">
        <x:v>0.3768947251813029</x:v>
      </x:c>
      <x:c r="J7" s="18" t="n">
        <x:v>-0.032563186029161105</x:v>
      </x:c>
      <x:c r="K7" s="18" t="n">
        <x:v>14389.472222222223</x:v>
      </x:c>
      <x:c r="L7" s="18" t="n">
        <x:v>34790.72222222222</x:v>
      </x:c>
      <x:c r="M7" s="18" t="n">
        <x:v>105721.02777777778</x:v>
      </x:c>
      <x:c r="N7" s="18" t="n">
        <x:v>0.3290804389014379</x:v>
      </x:c>
      <x:c r="O7" s="18" t="n">
        <x:v>0.42819309309064707</x:v>
      </x:c>
      <x:c r="P7" s="18" t="n">
        <x:v>0.1198019508887418</x:v>
      </x:c>
      <x:c r="Q7" s="18" t="n">
        <x:v>0.28965596032172225</x:v>
      </x:c>
      <x:c r="R7" s="18" t="n">
        <x:v>3652.8055555555557</x:v>
      </x:c>
      <x:c r="S7" s="18" t="n">
        <x:v>4055.0277777777774</x:v>
      </x:c>
      <x:c r="T7" s="18" t="n">
        <x:v>533.1944444444445</x:v>
      </x:c>
      <x:c r="U7" s="18" t="n">
        <x:v>0.3782880968456191</x:v>
      </x:c>
      <x:c r="V7" s="18" t="n">
        <x:v>0.3782880968456191</x:v>
      </x:c>
      <x:c r="W7" s="18" t="n">
        <x:v>0.4199426214676718</x:v>
      </x:c>
      <x:c r="X7" s="18" t="n">
        <x:v>0.055218135367424266</x:v>
      </x:c>
      <x:c r="Y7" s="18" t="n">
        <x:v>0.002082013447774392</x:v>
      </x:c>
      <x:c r="Z7" s="18" t="n">
        <x:v>1</x:v>
      </x:c>
      <x:c r="AA7" s="18" t="n">
        <x:v>0.39439234252987393</x:v>
      </x:c>
      <x:c r="AB7" s="18" t="n">
        <x:v>0.42495908559230094</x:v>
      </x:c>
      <x:c r="AC7" s="18" t="n">
        <x:v>0.36327493044039166</x:v>
      </x:c>
      <x:c r="AD7" s="18" t="n">
        <x:v>0.39092073816483963</x:v>
      </x:c>
      <x:c r="AE7" s="18" t="n">
        <x:v>-0.0353999286583372</x:v>
      </x:c>
      <x:c r="AF7" s="18" t="n">
        <x:v>-0.029973971312774215</x:v>
      </x:c>
      <x:c r="AG7" s="18" t="n">
        <x:v>0.31581367862195403</x:v>
      </x:c>
      <x:c r="AH7" s="18" t="n">
        <x:v>0.34282930397878875</x:v>
      </x:c>
      <x:c r="AI7" s="18" t="n">
        <x:v>0.41022377994007164</x:v>
      </x:c>
      <x:c r="AJ7" s="18" t="n">
        <x:v>0.4472063038900626</x:v>
      </x:c>
      <x:c r="AK7" s="18" t="n">
        <x:v>0.11261090877376047</x:v>
      </x:c>
      <x:c r="AL7" s="18" t="n">
        <x:v>0.12736426124922673</x:v>
      </x:c>
      <x:c r="AM7" s="18" t="n">
        <x:v>0.2791220501346342</x:v>
      </x:c>
      <x:c r="AN7" s="18" t="n">
        <x:v>0.30088773822002807</x:v>
      </x:c>
      <x:c r="AO7" s="18" t="n">
        <x:v>0.3615279309435162</x:v>
      </x:c>
      <x:c r="AP7" s="18" t="n">
        <x:v>0.3959397094687931</x:v>
      </x:c>
      <x:c r="AQ7" s="18" t="n">
        <x:v>0.40291205245617473</x:v>
      </x:c>
      <x:c r="AR7" s="18" t="n">
        <x:v>0.4377600685174235</x:v>
      </x:c>
      <x:c r="AS7" s="18" t="n">
        <x:v>0.05335936095601035</x:v>
      </x:c>
      <x:c r="AT7" s="18" t="n">
        <x:v>0.05709060094445349</x:v>
      </x:c>
    </x:row>
    <x:row r="8">
      <x:c r="A8" s="16" t="n">
        <x:v>60</x:v>
      </x:c>
      <x:c r="B8" s="18" t="n">
        <x:v>2.5</x:v>
      </x:c>
      <x:c r="C8" s="16" t="n">
        <x:v>2435</x:v>
      </x:c>
      <x:c r="D8" s="18" t="n">
        <x:v>120110.5</x:v>
      </x:c>
      <x:c r="E8" s="18" t="n">
        <x:v>115174.68333333333</x:v>
      </x:c>
      <x:c r="F8" s="18" t="n">
        <x:v>71530.43333333332</x:v>
      </x:c>
      <x:c r="G8" s="18" t="n">
        <x:v>66594.61666666667</x:v>
      </x:c>
      <x:c r="H8" s="18" t="n">
        <x:v>0.5955385526938387</x:v>
      </x:c>
      <x:c r="I8" s="18" t="n">
        <x:v>0.5544445878309279</x:v>
      </x:c>
      <x:c r="J8" s="18" t="n">
        <x:v>-0.04109396486291083</x:v>
      </x:c>
      <x:c r="K8" s="18" t="n">
        <x:v>23391.355555555554</x:v>
      </x:c>
      <x:c r="L8" s="18" t="n">
        <x:v>48139.07777777777</x:v>
      </x:c>
      <x:c r="M8" s="18" t="n">
        <x:v>96719.14444444444</x:v>
      </x:c>
      <x:c r="N8" s="18" t="n">
        <x:v>0.4977202605987577</x:v>
      </x:c>
      <x:c r="O8" s="18" t="n">
        <x:v>0.6885360395729997</x:v>
      </x:c>
      <x:c r="P8" s="18" t="n">
        <x:v>0.19474863193105976</x:v>
      </x:c>
      <x:c r="Q8" s="18" t="n">
        <x:v>0.40078992076277903</x:v>
      </x:c>
      <x:c r="R8" s="18" t="n">
        <x:v>5914.955555555555</x:v>
      </x:c>
      <x:c r="S8" s="18" t="n">
        <x:v>6683.122222222221</x:v>
      </x:c>
      <x:c r="T8" s="18" t="n">
        <x:v>942.5222222222221</x:v>
      </x:c>
      <x:c r="U8" s="18" t="n">
        <x:v>0.6125585515041799</x:v>
      </x:c>
      <x:c r="V8" s="18" t="n">
        <x:v>0.6125585515041799</x:v>
      </x:c>
      <x:c r="W8" s="18" t="n">
        <x:v>0.6921106387899705</x:v>
      </x:c>
      <x:c r="X8" s="18" t="n">
        <x:v>0.09760851823521746</x:v>
      </x:c>
      <x:c r="Y8" s="18" t="n">
        <x:v>0.005628978512184807</x:v>
      </x:c>
      <x:c r="Z8" s="18" t="n">
        <x:v>0.79651728553137</x:v>
      </x:c>
      <x:c r="AA8" s="18" t="n">
        <x:v>0.5753943054789009</x:v>
      </x:c>
      <x:c r="AB8" s="18" t="n">
        <x:v>0.6139958250003461</x:v>
      </x:c>
      <x:c r="AC8" s="18" t="n">
        <x:v>0.536371302982288</x:v>
      </x:c>
      <x:c r="AD8" s="18" t="n">
        <x:v>0.5710156553423231</x:v>
      </x:c>
      <x:c r="AE8" s="18" t="n">
        <x:v>-0.045109383112637916</x:v>
      </x:c>
      <x:c r="AF8" s="18" t="n">
        <x:v>-0.036958329935073066</x:v>
      </x:c>
      <x:c r="AG8" s="18" t="n">
        <x:v>0.47852857120677605</x:v>
      </x:c>
      <x:c r="AH8" s="18" t="n">
        <x:v>0.5165050466367798</x:v>
      </x:c>
      <x:c r="AI8" s="18" t="n">
        <x:v>0.6589025630749251</x:v>
      </x:c>
      <x:c r="AJ8" s="18" t="n">
        <x:v>0.7173009853563121</x:v>
      </x:c>
      <x:c r="AK8" s="18" t="n">
        <x:v>0.18307010852318137</x:v>
      </x:c>
      <x:c r="AL8" s="18" t="n">
        <x:v>0.2070669863893434</x:v>
      </x:c>
      <x:c r="AM8" s="18" t="n">
        <x:v>0.387049746643774</x:v>
      </x:c>
      <x:c r="AN8" s="18" t="n">
        <x:v>0.4146861197116049</x:v>
      </x:c>
      <x:c r="AO8" s="18" t="n">
        <x:v>0.5821141406873936</x:v>
      </x:c>
      <x:c r="AP8" s="18" t="n">
        <x:v>0.6424624602534639</x:v>
      </x:c>
      <x:c r="AQ8" s="18" t="n">
        <x:v>0.6602661220026866</x:v>
      </x:c>
      <x:c r="AR8" s="18" t="n">
        <x:v>0.7221540913971431</x:v>
      </x:c>
      <x:c r="AS8" s="18" t="n">
        <x:v>0.09369428310215643</x:v>
      </x:c>
      <x:c r="AT8" s="18" t="n">
        <x:v>0.10165443431304261</x:v>
      </x:c>
    </x:row>
    <x:row r="9">
      <x:c r="A9" s="16" t="n">
        <x:v>60</x:v>
      </x:c>
      <x:c r="B9" s="18" t="n">
        <x:v>3</x:v>
      </x:c>
      <x:c r="C9" s="16" t="n">
        <x:v>2435</x:v>
      </x:c>
      <x:c r="D9" s="18" t="n">
        <x:v>120110.5</x:v>
      </x:c>
      <x:c r="E9" s="18" t="n">
        <x:v>114987.86574074073</x:v>
      </x:c>
      <x:c r="F9" s="18" t="n">
        <x:v>75612.58796296296</x:v>
      </x:c>
      <x:c r="G9" s="18" t="n">
        <x:v>70489.95370370371</x:v>
      </x:c>
      <x:c r="H9" s="18" t="n">
        <x:v>0.6295252118920741</x:v>
      </x:c>
      <x:c r="I9" s="18" t="n">
        <x:v>0.586875866004252</x:v>
      </x:c>
      <x:c r="J9" s="18" t="n">
        <x:v>-0.04264934588782209</x:v>
      </x:c>
      <x:c r="K9" s="18" t="n">
        <x:v>25145.53240740741</x:v>
      </x:c>
      <x:c r="L9" s="18" t="n">
        <x:v>50467.055555555555</x:v>
      </x:c>
      <x:c r="M9" s="18" t="n">
        <x:v>94964.96759259258</x:v>
      </x:c>
      <x:c r="N9" s="18" t="n">
        <x:v>0.531428134341743</x:v>
      </x:c>
      <x:c r="O9" s="18" t="n">
        <x:v>0.7422732349692502</x:v>
      </x:c>
      <x:c r="P9" s="18" t="n">
        <x:v>0.2093533238759926</x:v>
      </x:c>
      <x:c r="Q9" s="18" t="n">
        <x:v>0.42017188801608146</x:v>
      </x:c>
      <x:c r="R9" s="18" t="n">
        <x:v>6393.185185185184</x:v>
      </x:c>
      <x:c r="S9" s="18" t="n">
        <x:v>7242.62037037037</x:v>
      </x:c>
      <x:c r="T9" s="18" t="n">
        <x:v>1037.0462962962963</x:v>
      </x:c>
      <x:c r="U9" s="18" t="n">
        <x:v>0.6620844771786615</x:v>
      </x:c>
      <x:c r="V9" s="18" t="n">
        <x:v>0.6620844771786615</x:v>
      </x:c>
      <x:c r="W9" s="18" t="n">
        <x:v>0.7500528113016474</x:v>
      </x:c>
      <x:c r="X9" s="18" t="n">
        <x:v>0.10739752330097917</x:v>
      </x:c>
      <x:c r="Y9" s="18" t="n">
        <x:v>0.006819282582848449</x:v>
      </x:c>
      <x:c r="Z9" s="18" t="n">
        <x:v>0.7367335325081804</x:v>
      </x:c>
      <x:c r="AA9" s="18" t="n">
        <x:v>0.6097428292016002</x:v>
      </x:c>
      <x:c r="AB9" s="18" t="n">
        <x:v>0.6474385189908423</x:v>
      </x:c>
      <x:c r="AC9" s="18" t="n">
        <x:v>0.56916210923764</x:v>
      </x:c>
      <x:c r="AD9" s="18" t="n">
        <x:v>0.6029447344931383</x:v>
      </x:c>
      <x:c r="AE9" s="18" t="n">
        <x:v>-0.04640989434681046</x:v>
      </x:c>
      <x:c r="AF9" s="18" t="n">
        <x:v>-0.03865344381235326</x:v>
      </x:c>
      <x:c r="AG9" s="18" t="n">
        <x:v>0.5101918496452763</x:v>
      </x:c>
      <x:c r="AH9" s="18" t="n">
        <x:v>0.5495314277388766</x:v>
      </x:c>
      <x:c r="AI9" s="18" t="n">
        <x:v>0.7129310516538547</x:v>
      </x:c>
      <x:c r="AJ9" s="18" t="n">
        <x:v>0.7717818076429488</x:v>
      </x:c>
      <x:c r="AK9" s="18" t="n">
        <x:v>0.19716419868052623</x:v>
      </x:c>
      <x:c r="AL9" s="18" t="n">
        <x:v>0.22292561096910896</x:v>
      </x:c>
      <x:c r="AM9" s="18" t="n">
        <x:v>0.4050275440183012</x:v>
      </x:c>
      <x:c r="AN9" s="18" t="n">
        <x:v>0.4335906734032729</x:v>
      </x:c>
      <x:c r="AO9" s="18" t="n">
        <x:v>0.6312612173080238</x:v>
      </x:c>
      <x:c r="AP9" s="18" t="n">
        <x:v>0.694058711552002</x:v>
      </x:c>
      <x:c r="AQ9" s="18" t="n">
        <x:v>0.7185333780778957</x:v>
      </x:c>
      <x:c r="AR9" s="18" t="n">
        <x:v>0.7822247340221775</x:v>
      </x:c>
      <x:c r="AS9" s="18" t="n">
        <x:v>0.1030501706570122</x:v>
      </x:c>
      <x:c r="AT9" s="18" t="n">
        <x:v>0.11217482257530878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8" t="n">
        <x:v>120110.5</x:v>
      </x:c>
      <x:c r="E10" s="18" t="n">
        <x:v>114906.34444444445</x:v>
      </x:c>
      <x:c r="F10" s="18" t="n">
        <x:v>86197.83055555556</x:v>
      </x:c>
      <x:c r="G10" s="18" t="n">
        <x:v>80993.67499999999</x:v>
      </x:c>
      <x:c r="H10" s="18" t="n">
        <x:v>0.7176544145229231</x:v>
      </x:c>
      <x:c r="I10" s="18" t="n">
        <x:v>0.6743263494865144</x:v>
      </x:c>
      <x:c r="J10" s="18" t="n">
        <x:v>-0.04332806503640871</x:v>
      </x:c>
      <x:c r="K10" s="18" t="n">
        <x:v>30198.48055555555</x:v>
      </x:c>
      <x:c r="L10" s="18" t="n">
        <x:v>55999.35</x:v>
      </x:c>
      <x:c r="M10" s="18" t="n">
        <x:v>89912.01944444444</x:v>
      </x:c>
      <x:c r="N10" s="18" t="n">
        <x:v>0.6228238487580776</x:v>
      </x:c>
      <x:c r="O10" s="18" t="n">
        <x:v>0.9008103199155149</x:v>
      </x:c>
      <x:c r="P10" s="18" t="n">
        <x:v>0.2514224864233814</x:v>
      </x:c>
      <x:c r="Q10" s="18" t="n">
        <x:v>0.46623192809954167</x:v>
      </x:c>
      <x:c r="R10" s="18" t="n">
        <x:v>7655.35</x:v>
      </x:c>
      <x:c r="S10" s="18" t="n">
        <x:v>8793.65</x:v>
      </x:c>
      <x:c r="T10" s="18" t="n">
        <x:v>1344.072222222222</x:v>
      </x:c>
      <x:c r="U10" s="18" t="n">
        <x:v>0.7927954932565986</x:v>
      </x:c>
      <x:c r="V10" s="18" t="n">
        <x:v>0.7927954932565986</x:v>
      </x:c>
      <x:c r="W10" s="18" t="n">
        <x:v>0.9106789486144836</x:v>
      </x:c>
      <x:c r="X10" s="18" t="n">
        <x:v>0.13919342686998754</x:v>
      </x:c>
      <x:c r="Y10" s="18" t="n">
        <x:v>0.011500936016123715</x:v>
      </x:c>
      <x:c r="Z10" s="18" t="n">
        <x:v>0.5651301749893298</x:v>
      </x:c>
      <x:c r="AA10" s="18" t="n">
        <x:v>0.6973222987106832</x:v>
      </x:c>
      <x:c r="AB10" s="18" t="n">
        <x:v>0.7350912826614593</x:v>
      </x:c>
      <x:c r="AC10" s="18" t="n">
        <x:v>0.6563527729276766</x:v>
      </x:c>
      <x:c r="AD10" s="18" t="n">
        <x:v>0.6903165616337826</x:v>
      </x:c>
      <x:c r="AE10" s="18" t="n">
        <x:v>-0.047927352323828325</x:v>
      </x:c>
      <x:c r="AF10" s="18" t="n">
        <x:v>-0.03866023825717413</x:v>
      </x:c>
      <x:c r="AG10" s="18" t="n">
        <x:v>0.6006028704921336</x:v>
      </x:c>
      <x:c r="AH10" s="18" t="n">
        <x:v>0.6435064716187311</x:v>
      </x:c>
      <x:c r="AI10" s="18" t="n">
        <x:v>0.8640221470906354</x:v>
      </x:c>
      <x:c r="AJ10" s="18" t="n">
        <x:v>0.9365230319431441</x:v>
      </x:c>
      <x:c r="AK10" s="18" t="n">
        <x:v>0.2359680453114488</x:v>
      </x:c>
      <x:c r="AL10" s="18" t="n">
        <x:v>0.2668955731395706</x:v>
      </x:c>
      <x:c r="AM10" s="18" t="n">
        <x:v>0.45088992226129376</x:v>
      </x:c>
      <x:c r="AN10" s="18" t="n">
        <x:v>0.4809931039517719</x:v>
      </x:c>
      <x:c r="AO10" s="18" t="n">
        <x:v>0.7500014028551494</x:v>
      </x:c>
      <x:c r="AP10" s="18" t="n">
        <x:v>0.830774300307051</x:v>
      </x:c>
      <x:c r="AQ10" s="18" t="n">
        <x:v>0.865875484819952</x:v>
      </x:c>
      <x:c r="AR10" s="18" t="n">
        <x:v>0.9486223012881402</x:v>
      </x:c>
      <x:c r="AS10" s="18" t="n">
        <x:v>0.1323021017058718</x:v>
      </x:c>
      <x:c r="AT10" s="18" t="n">
        <x:v>0.145622262465054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8" t="n">
        <x:v>120110.5</x:v>
      </x:c>
      <x:c r="E11" s="18" t="n">
        <x:v>114611.22916666667</x:v>
      </x:c>
      <x:c r="F11" s="18" t="n">
        <x:v>97292.96805555554</x:v>
      </x:c>
      <x:c r="G11" s="18" t="n">
        <x:v>91793.69722222222</x:v>
      </x:c>
      <x:c r="H11" s="18" t="n">
        <x:v>0.8100288322466024</x:v>
      </x:c>
      <x:c r="I11" s="18" t="n">
        <x:v>0.7642437357451866</x:v>
      </x:c>
      <x:c r="J11" s="18" t="n">
        <x:v>-0.04578509650141589</x:v>
      </x:c>
      <x:c r="K11" s="18" t="n">
        <x:v>37329.680555555555</x:v>
      </x:c>
      <x:c r="L11" s="18" t="n">
        <x:v>59963.2875</x:v>
      </x:c>
      <x:c r="M11" s="18" t="n">
        <x:v>82780.81944444444</x:v>
      </x:c>
      <x:c r="N11" s="18" t="n">
        <x:v>0.7243620913929505</x:v>
      </x:c>
      <x:c r="O11" s="18" t="n">
        <x:v>1.108876402024825</x:v>
      </x:c>
      <x:c r="P11" s="18" t="n">
        <x:v>0.31079448137802734</x:v>
      </x:c>
      <x:c r="Q11" s="18" t="n">
        <x:v>0.49923435086857515</x:v>
      </x:c>
      <x:c r="R11" s="18" t="n">
        <x:v>8873.875</x:v>
      </x:c>
      <x:c r="S11" s="18" t="n">
        <x:v>10553.102777777778</x:v>
      </x:c>
      <x:c r="T11" s="18" t="n">
        <x:v>1938.9444444444443</x:v>
      </x:c>
      <x:c r="U11" s="18" t="n">
        <x:v>0.9189871276587482</x:v>
      </x:c>
      <x:c r="V11" s="18" t="n">
        <x:v>0.9189871276587482</x:v>
      </x:c>
      <x:c r="W11" s="18" t="n">
        <x:v>1.0928895899071778</x:v>
      </x:c>
      <x:c r="X11" s="18" t="n">
        <x:v>0.20079897290528514</x:v>
      </x:c>
      <x:c r="Y11" s="18" t="n">
        <x:v>0.023109785562375373</x:v>
      </x:c>
      <x:c r="Z11" s="18" t="n">
        <x:v>0.37370465215535636</x:v>
      </x:c>
      <x:c r="AA11" s="18" t="n">
        <x:v>0.7919755019561424</x:v>
      </x:c>
      <x:c r="AB11" s="18" t="n">
        <x:v>0.8275103927819595</x:v>
      </x:c>
      <x:c r="AC11" s="18" t="n">
        <x:v>0.747575376827715</x:v>
      </x:c>
      <x:c r="AD11" s="18" t="n">
        <x:v>0.7808099529610638</x:v>
      </x:c>
      <x:c r="AE11" s="18" t="n">
        <x:v>-0.05107221960423752</x:v>
      </x:c>
      <x:c r="AF11" s="18" t="n">
        <x:v>-0.04102045809179689</x:v>
      </x:c>
      <x:c r="AG11" s="18" t="n">
        <x:v>0.7014324635783564</x:v>
      </x:c>
      <x:c r="AH11" s="18" t="n">
        <x:v>0.7473074924526607</x:v>
      </x:c>
      <x:c r="AI11" s="18" t="n">
        <x:v>1.064168421287539</x:v>
      </x:c>
      <x:c r="AJ11" s="18" t="n">
        <x:v>1.1541614206797357</x:v>
      </x:c>
      <x:c r="AK11" s="18" t="n">
        <x:v>0.2923956820363597</x:v>
      </x:c>
      <x:c r="AL11" s="18" t="n">
        <x:v>0.3274569715352311</x:v>
      </x:c>
      <x:c r="AM11" s="18" t="n">
        <x:v>0.48423921249415697</x:v>
      </x:c>
      <x:c r="AN11" s="18" t="n">
        <x:v>0.5144908241219601</x:v>
      </x:c>
      <x:c r="AO11" s="18" t="n">
        <x:v>0.8704727243128831</x:v>
      </x:c>
      <x:c r="AP11" s="18" t="n">
        <x:v>0.9714629265833461</x:v>
      </x:c>
      <x:c r="AQ11" s="18" t="n">
        <x:v>1.0421880838972355</x:v>
      </x:c>
      <x:c r="AR11" s="18" t="n">
        <x:v>1.1465855502766003</x:v>
      </x:c>
      <x:c r="AS11" s="18" t="n">
        <x:v>0.19116340866388157</x:v>
      </x:c>
      <x:c r="AT11" s="18" t="n">
        <x:v>0.21045714081800784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8" t="n">
        <x:v>262221.8333333333</x:v>
      </x:c>
      <x:c r="E12" s="18" t="n">
        <x:v>257644.55555555556</x:v>
      </x:c>
      <x:c r="F12" s="18" t="n">
        <x:v>79485.68055555556</x:v>
      </x:c>
      <x:c r="G12" s="18" t="n">
        <x:v>74908.40277777778</x:v>
      </x:c>
      <x:c r="H12" s="18" t="n">
        <x:v>0.30312380759886726</x:v>
      </x:c>
      <x:c r="I12" s="18" t="n">
        <x:v>0.28566806137212497</x:v>
      </x:c>
      <x:c r="J12" s="18" t="n">
        <x:v>-0.0174557462267423</x:v>
      </x:c>
      <x:c r="K12" s="18" t="n">
        <x:v>17230.333333333332</x:v>
      </x:c>
      <x:c r="L12" s="18" t="n">
        <x:v>62255.34722222222</x:v>
      </x:c>
      <x:c r="M12" s="18" t="n">
        <x:v>244991.5</x:v>
      </x:c>
      <x:c r="N12" s="18" t="n">
        <x:v>0.2541122741900116</x:v>
      </x:c>
      <x:c r="O12" s="18" t="n">
        <x:v>0.3057591907383635</x:v>
      </x:c>
      <x:c r="P12" s="18" t="n">
        <x:v>0.06570899575486659</x:v>
      </x:c>
      <x:c r="Q12" s="18" t="n">
        <x:v>0.23741481184400062</x:v>
      </x:c>
      <x:c r="R12" s="18" t="n">
        <x:v>6884.527777777777</x:v>
      </x:c>
      <x:c r="S12" s="18" t="n">
        <x:v>7344.25</x:v>
      </x:c>
      <x:c r="T12" s="18" t="n">
        <x:v>592.3611111111111</x:v>
      </x:c>
      <x:c r="U12" s="18" t="n">
        <x:v>0.7129683940541043</x:v>
      </x:c>
      <x:c r="V12" s="18" t="n">
        <x:v>0.7129683940541043</x:v>
      </x:c>
      <x:c r="W12" s="18" t="n">
        <x:v>0.7605776746131494</x:v>
      </x:c>
      <x:c r="X12" s="18" t="n">
        <x:v>0.06134549292577871</x:v>
      </x:c>
      <x:c r="Y12" s="18" t="n">
        <x:v>0.002082013447774392</x:v>
      </x:c>
      <x:c r="Z12" s="18" t="n">
        <x:v>1</x:v>
      </x:c>
      <x:c r="AA12" s="18" t="n">
        <x:v>0.2936000766997126</x:v>
      </x:c>
      <x:c r="AB12" s="18" t="n">
        <x:v>0.31315685512986186</x:v>
      </x:c>
      <x:c r="AC12" s="18" t="n">
        <x:v>0.2767595390629442</x:v>
      </x:c>
      <x:c r="AD12" s="18" t="n">
        <x:v>0.29494295587485264</x:v>
      </x:c>
      <x:c r="AE12" s="18" t="n">
        <x:v>-0.019027712514179097</x:v>
      </x:c>
      <x:c r="AF12" s="18" t="n">
        <x:v>-0.015992946550104293</x:v>
      </x:c>
      <x:c r="AG12" s="18" t="n">
        <x:v>0.24596624198587266</x:v>
      </x:c>
      <x:c r="AH12" s="18" t="n">
        <x:v>0.2626697011720565</x:v>
      </x:c>
      <x:c r="AI12" s="18" t="n">
        <x:v>0.2953381147779436</x:v>
      </x:c>
      <x:c r="AJ12" s="18" t="n">
        <x:v>0.31652066932428946</x:v>
      </x:c>
      <x:c r="AK12" s="18" t="n">
        <x:v>0.06199957134532734</x:v>
      </x:c>
      <x:c r="AL12" s="18" t="n">
        <x:v>0.06997374818779145</x:v>
      </x:c>
      <x:c r="AM12" s="18" t="n">
        <x:v>0.23020624077672153</x:v>
      </x:c>
      <x:c r="AN12" s="18" t="n">
        <x:v>0.2448484987158218</x:v>
      </x:c>
      <x:c r="AO12" s="18" t="n">
        <x:v>0.6854098444743217</x:v>
      </x:c>
      <x:c r="AP12" s="18" t="n">
        <x:v>0.73977125267547</x:v>
      </x:c>
      <x:c r="AQ12" s="18" t="n">
        <x:v>0.7328207365539844</x:v>
      </x:c>
      <x:c r="AR12" s="18" t="n">
        <x:v>0.7877237185425093</x:v>
      </x:c>
      <x:c r="AS12" s="18" t="n">
        <x:v>0.05947471343360165</x:v>
      </x:c>
      <x:c r="AT12" s="18" t="n">
        <x:v>0.06344700234884292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8" t="n">
        <x:v>262221.8333333333</x:v>
      </x:c>
      <x:c r="E13" s="18" t="n">
        <x:v>256349.77777777775</x:v>
      </x:c>
      <x:c r="F13" s="18" t="n">
        <x:v>122980.5611111111</x:v>
      </x:c>
      <x:c r="G13" s="18" t="n">
        <x:v>117108.50555555554</x:v>
      </x:c>
      <x:c r="H13" s="18" t="n">
        <x:v>0.4689943607967215</x:v>
      </x:c>
      <x:c r="I13" s="18" t="n">
        <x:v>0.4466008953826838</x:v>
      </x:c>
      <x:c r="J13" s="18" t="n">
        <x:v>-0.022393465414037715</x:v>
      </x:c>
      <x:c r="K13" s="18" t="n">
        <x:v>28600.705555555556</x:v>
      </x:c>
      <x:c r="L13" s="18" t="n">
        <x:v>94379.85555555555</x:v>
      </x:c>
      <x:c r="M13" s="18" t="n">
        <x:v>233621.1277777778</x:v>
      </x:c>
      <x:c r="N13" s="18" t="n">
        <x:v>0.40398681597552427</x:v>
      </x:c>
      <x:c r="O13" s="18" t="n">
        <x:v>0.5012753198715403</x:v>
      </x:c>
      <x:c r="P13" s="18" t="n">
        <x:v>0.1090706490454541</x:v>
      </x:c>
      <x:c r="Q13" s="18" t="n">
        <x:v>0.3599237117512674</x:v>
      </x:c>
      <x:c r="R13" s="18" t="n">
        <x:v>11777.22222222222</x:v>
      </x:c>
      <x:c r="S13" s="18" t="n">
        <x:v>12691.455555555554</x:v>
      </x:c>
      <x:c r="T13" s="18" t="n">
        <x:v>1113.711111111111</x:v>
      </x:c>
      <x:c r="U13" s="18" t="n">
        <x:v>1.2196605904183662</x:v>
      </x:c>
      <x:c r="V13" s="18" t="n">
        <x:v>1.2196605904183662</x:v>
      </x:c>
      <x:c r="W13" s="18" t="n">
        <x:v>1.3143394838003308</x:v>
      </x:c>
      <x:c r="X13" s="18" t="n">
        <x:v>0.11533700610405632</x:v>
      </x:c>
      <x:c r="Y13" s="18" t="n">
        <x:v>0.005628978512184807</x:v>
      </x:c>
      <x:c r="Z13" s="18" t="n">
        <x:v>0.8490765937375278</x:v>
      </x:c>
      <x:c r="AA13" s="18" t="n">
        <x:v>0.4544730029985244</x:v>
      </x:c>
      <x:c r="AB13" s="18" t="n">
        <x:v>0.48258626541726474</x:v>
      </x:c>
      <x:c r="AC13" s="18" t="n">
        <x:v>0.43324264739874313</x:v>
      </x:c>
      <x:c r="AD13" s="18" t="n">
        <x:v>0.4595079889310925</x:v>
      </x:c>
      <x:c r="AE13" s="18" t="n">
        <x:v>-0.024583999578373053</x:v>
      </x:c>
      <x:c r="AF13" s="18" t="n">
        <x:v>-0.02042160654153852</x:v>
      </x:c>
      <x:c r="AG13" s="18" t="n">
        <x:v>0.39109362552041627</x:v>
      </x:c>
      <x:c r="AH13" s="18" t="n">
        <x:v>0.41715570159404347</x:v>
      </x:c>
      <x:c r="AI13" s="18" t="n">
        <x:v>0.483497481671849</x:v>
      </x:c>
      <x:c r="AJ13" s="18" t="n">
        <x:v>0.5184075720710479</x:v>
      </x:c>
      <x:c r="AK13" s="18" t="n">
        <x:v>0.10199757044068683</x:v>
      </x:c>
      <x:c r="AL13" s="18" t="n">
        <x:v>0.11616888936587613</x:v>
      </x:c>
      <x:c r="AM13" s="18" t="n">
        <x:v>0.34887482803508196</x:v>
      </x:c>
      <x:c r="AN13" s="18" t="n">
        <x:v>0.37012521829086686</x:v>
      </x:c>
      <x:c r="AO13" s="18" t="n">
        <x:v>1.1736645455284709</x:v>
      </x:c>
      <x:c r="AP13" s="18" t="n">
        <x:v>1.2652288021576208</x:v>
      </x:c>
      <x:c r="AQ13" s="18" t="n">
        <x:v>1.2665019778862252</x:v>
      </x:c>
      <x:c r="AR13" s="18" t="n">
        <x:v>1.3604599222563913</x:v>
      </x:c>
      <x:c r="AS13" s="18" t="n">
        <x:v>0.11090544544249176</x:v>
      </x:c>
      <x:c r="AT13" s="18" t="n">
        <x:v>0.11964137844669506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8" t="n">
        <x:v>262221.8333333333</x:v>
      </x:c>
      <x:c r="E14" s="18" t="n">
        <x:v>256084.35185185185</x:v>
      </x:c>
      <x:c r="F14" s="18" t="n">
        <x:v>131955.54166666666</x:v>
      </x:c>
      <x:c r="G14" s="18" t="n">
        <x:v>125818.06018518517</x:v>
      </x:c>
      <x:c r="H14" s="18" t="n">
        <x:v>0.5032210323193276</x:v>
      </x:c>
      <x:c r="I14" s="18" t="n">
        <x:v>0.4798153478899933</x:v>
      </x:c>
      <x:c r="J14" s="18" t="n">
        <x:v>-0.023405684429334283</x:v>
      </x:c>
      <x:c r="K14" s="18" t="n">
        <x:v>30928.72685185185</x:v>
      </x:c>
      <x:c r="L14" s="18" t="n">
        <x:v>101026.8148148148</x:v>
      </x:c>
      <x:c r="M14" s="18" t="n">
        <x:v>231293.10648148146</x:v>
      </x:c>
      <x:c r="N14" s="18" t="n">
        <x:v>0.43679129201761807</x:v>
      </x:c>
      <x:c r="O14" s="18" t="n">
        <x:v>0.543976697356775</x:v>
      </x:c>
      <x:c r="P14" s="18" t="n">
        <x:v>0.1179487095284534</x:v>
      </x:c>
      <x:c r="Q14" s="18" t="n">
        <x:v>0.3852723227908742</x:v>
      </x:c>
      <x:c r="R14" s="18" t="n">
        <x:v>12948.453703703703</x:v>
      </x:c>
      <x:c r="S14" s="18" t="n">
        <x:v>13970.75925925926</x:v>
      </x:c>
      <x:c r="T14" s="18" t="n">
        <x:v>1243.8703703703702</x:v>
      </x:c>
      <x:c r="U14" s="18" t="n">
        <x:v>1.340954462034787</x:v>
      </x:c>
      <x:c r="V14" s="18" t="n">
        <x:v>1.340954462034787</x:v>
      </x:c>
      <x:c r="W14" s="18" t="n">
        <x:v>1.4468254198846082</x:v>
      </x:c>
      <x:c r="X14" s="18" t="n">
        <x:v>0.12881642561411896</x:v>
      </x:c>
      <x:c r="Y14" s="18" t="n">
        <x:v>0.006819282582848449</x:v>
      </x:c>
      <x:c r="Z14" s="18" t="n">
        <x:v>0.802450322315349</x:v>
      </x:c>
      <x:c r="AA14" s="18" t="n">
        <x:v>0.4882411564028137</x:v>
      </x:c>
      <x:c r="AB14" s="18" t="n">
        <x:v>0.5169650799336916</x:v>
      </x:c>
      <x:c r="AC14" s="18" t="n">
        <x:v>0.4663756711824853</x:v>
      </x:c>
      <x:c r="AD14" s="18" t="n">
        <x:v>0.49265717145496274</x:v>
      </x:c>
      <x:c r="AE14" s="18" t="n">
        <x:v>-0.025713656261397592</x:v>
      </x:c>
      <x:c r="AF14" s="18" t="n">
        <x:v>-0.02128384949546724</x:v>
      </x:c>
      <x:c r="AG14" s="18" t="n">
        <x:v>0.4226542793482573</x:v>
      </x:c>
      <x:c r="AH14" s="18" t="n">
        <x:v>0.4502594731273641</x:v>
      </x:c>
      <x:c r="AI14" s="18" t="n">
        <x:v>0.525361596586835</x:v>
      </x:c>
      <x:c r="AJ14" s="18" t="n">
        <x:v>0.5616843934172977</x:v>
      </x:c>
      <x:c r="AK14" s="18" t="n">
        <x:v>0.11080601999742301</x:v>
      </x:c>
      <x:c r="AL14" s="18" t="n">
        <x:v>0.12546152066170063</x:v>
      </x:c>
      <x:c r="AM14" s="18" t="n">
        <x:v>0.3741196482502023</x:v>
      </x:c>
      <x:c r="AN14" s="18" t="n">
        <x:v>0.395605707832859</x:v>
      </x:c>
      <x:c r="AO14" s="18" t="n">
        <x:v>1.2903115642651874</x:v>
      </x:c>
      <x:c r="AP14" s="18" t="n">
        <x:v>1.3916059754548966</x:v>
      </x:c>
      <x:c r="AQ14" s="18" t="n">
        <x:v>1.3941584443618569</x:v>
      </x:c>
      <x:c r="AR14" s="18" t="n">
        <x:v>1.49843561821836</x:v>
      </x:c>
      <x:c r="AS14" s="18" t="n">
        <x:v>0.12383992156205594</x:v>
      </x:c>
      <x:c r="AT14" s="18" t="n">
        <x:v>0.13447946238113712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8" t="n">
        <x:v>262221.8333333333</x:v>
      </x:c>
      <x:c r="E15" s="18" t="n">
        <x:v>255815.09166666667</x:v>
      </x:c>
      <x:c r="F15" s="18" t="n">
        <x:v>156657.8111111111</x:v>
      </x:c>
      <x:c r="G15" s="18" t="n">
        <x:v>150251.06944444444</x:v>
      </x:c>
      <x:c r="H15" s="18" t="n">
        <x:v>0.5974247419434733</x:v>
      </x:c>
      <x:c r="I15" s="18" t="n">
        <x:v>0.5729922163020157</x:v>
      </x:c>
      <x:c r="J15" s="18" t="n">
        <x:v>-0.02443252564145753</x:v>
      </x:c>
      <x:c r="K15" s="18" t="n">
        <x:v>37947.330555555556</x:v>
      </x:c>
      <x:c r="L15" s="18" t="n">
        <x:v>118710.48055555555</x:v>
      </x:c>
      <x:c r="M15" s="18" t="n">
        <x:v>224274.50277777776</x:v>
      </x:c>
      <x:c r="N15" s="18" t="n">
        <x:v>0.529308856268783</x:v>
      </x:c>
      <x:c r="O15" s="18" t="n">
        <x:v>0.6699427156609087</x:v>
      </x:c>
      <x:c r="P15" s="18" t="n">
        <x:v>0.14471461080556688</x:v>
      </x:c>
      <x:c r="Q15" s="18" t="n">
        <x:v>0.45271013113790637</x:v>
      </x:c>
      <x:c r="R15" s="18" t="n">
        <x:v>16337.566666666666</x:v>
      </x:c>
      <x:c r="S15" s="18" t="n">
        <x:v>17769.627777777776</x:v>
      </x:c>
      <x:c r="T15" s="18" t="n">
        <x:v>1701.5388888888888</x:v>
      </x:c>
      <x:c r="U15" s="18" t="n">
        <x:v>1.6919342974668123</x:v>
      </x:c>
      <x:c r="V15" s="18" t="n">
        <x:v>1.6919342974668123</x:v>
      </x:c>
      <x:c r="W15" s="18" t="n">
        <x:v>1.8402399392672426</x:v>
      </x:c>
      <x:c r="X15" s="18" t="n">
        <x:v>0.17621302261973015</x:v>
      </x:c>
      <x:c r="Y15" s="18" t="n">
        <x:v>0.011500936016123715</x:v>
      </x:c>
      <x:c r="Z15" s="18" t="n">
        <x:v>0.657762780740902</x:v>
      </x:c>
      <x:c r="AA15" s="18" t="n">
        <x:v>0.5814571937502134</x:v>
      </x:c>
      <x:c r="AB15" s="18" t="n">
        <x:v>0.6126324766090073</x:v>
      </x:c>
      <x:c r="AC15" s="18" t="n">
        <x:v>0.5578223060919201</x:v>
      </x:c>
      <x:c r="AD15" s="18" t="n">
        <x:v>0.586776748290535</x:v>
      </x:c>
      <x:c r="AE15" s="18" t="n">
        <x:v>-0.027166430841651636</x:v>
      </x:c>
      <x:c r="AF15" s="18" t="n">
        <x:v>-0.021810710531806058</x:v>
      </x:c>
      <x:c r="AG15" s="18" t="n">
        <x:v>0.5134572843322524</x:v>
      </x:c>
      <x:c r="AH15" s="18" t="n">
        <x:v>0.5435331335378321</x:v>
      </x:c>
      <x:c r="AI15" s="18" t="n">
        <x:v>0.647912226787285</x:v>
      </x:c>
      <x:c r="AJ15" s="18" t="n">
        <x:v>0.6911781474812013</x:v>
      </x:c>
      <x:c r="AK15" s="18" t="n">
        <x:v>0.13593424330677992</x:v>
      </x:c>
      <x:c r="AL15" s="18" t="n">
        <x:v>0.15383658222633098</x:v>
      </x:c>
      <x:c r="AM15" s="18" t="n">
        <x:v>0.44115531334811037</x:v>
      </x:c>
      <x:c r="AN15" s="18" t="n">
        <x:v>0.462957465776602</x:v>
      </x:c>
      <x:c r="AO15" s="18" t="n">
        <x:v>1.6287432359169203</x:v>
      </x:c>
      <x:c r="AP15" s="18" t="n">
        <x:v>1.756369495230963</x:v>
      </x:c>
      <x:c r="AQ15" s="18" t="n">
        <x:v>1.7744846191514387</x:v>
      </x:c>
      <x:c r="AR15" s="18" t="n">
        <x:v>1.9068707805096576</x:v>
      </x:c>
      <x:c r="AS15" s="18" t="n">
        <x:v>0.16918818183120582</x:v>
      </x:c>
      <x:c r="AT15" s="18" t="n">
        <x:v>0.18345732112985844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8" t="n">
        <x:v>262221.8333333333</x:v>
      </x:c>
      <x:c r="E16" s="18" t="n">
        <x:v>255032.5861111111</x:v>
      </x:c>
      <x:c r="F16" s="18" t="n">
        <x:v>185640.6222222222</x:v>
      </x:c>
      <x:c r="G16" s="18" t="n">
        <x:v>178451.375</x:v>
      </x:c>
      <x:c r="H16" s="18" t="n">
        <x:v>0.7079525753533956</x:v>
      </x:c>
      <x:c r="I16" s="18" t="n">
        <x:v>0.6805359139303809</x:v>
      </x:c>
      <x:c r="J16" s="18" t="n">
        <x:v>-0.02741666142301479</x:v>
      </x:c>
      <x:c r="K16" s="18" t="n">
        <x:v>49342.448611111104</x:v>
      </x:c>
      <x:c r="L16" s="18" t="n">
        <x:v>136298.17361111112</x:v>
      </x:c>
      <x:c r="M16" s="18" t="n">
        <x:v>212879.38472222222</x:v>
      </x:c>
      <x:c r="N16" s="18" t="n">
        <x:v>0.640260088072695</x:v>
      </x:c>
      <x:c r="O16" s="18" t="n">
        <x:v>0.838274571456762</x:v>
      </x:c>
      <x:c r="P16" s="18" t="n">
        <x:v>0.18817063393949948</x:v>
      </x:c>
      <x:c r="Q16" s="18" t="n">
        <x:v>0.5197819414138962</x:v>
      </x:c>
      <x:c r="R16" s="18" t="n">
        <x:v>20380.81388888889</x:v>
      </x:c>
      <x:c r="S16" s="18" t="n">
        <x:v>22724.377777777776</x:v>
      </x:c>
      <x:c r="T16" s="18" t="n">
        <x:v>2748.041666666667</x:v>
      </x:c>
      <x:c r="U16" s="18" t="n">
        <x:v>2.110656913140823</x:v>
      </x:c>
      <x:c r="V16" s="18" t="n">
        <x:v>2.110656913140823</x:v>
      </x:c>
      <x:c r="W16" s="18" t="n">
        <x:v>2.3533586693335535</x:v>
      </x:c>
      <x:c r="X16" s="18" t="n">
        <x:v>0.28458986834235994</x:v>
      </x:c>
      <x:c r="Y16" s="18" t="n">
        <x:v>0.023109785562375373</x:v>
      </x:c>
      <x:c r="Z16" s="18" t="n">
        <x:v>0.4728130329088205</x:v>
      </x:c>
      <x:c r="AA16" s="18" t="n">
        <x:v>0.6920016405090013</x:v>
      </x:c>
      <x:c r="AB16" s="18" t="n">
        <x:v>0.7225371806382715</x:v>
      </x:c>
      <x:c r="AC16" s="18" t="n">
        <x:v>0.6657157621371649</x:v>
      </x:c>
      <x:c r="AD16" s="18" t="n">
        <x:v>0.6943394779252858</x:v>
      </x:c>
      <x:c r="AE16" s="18" t="n">
        <x:v>-0.03059835366445524</x:v>
      </x:c>
      <x:c r="AF16" s="18" t="n">
        <x:v>-0.024304376139757947</x:v>
      </x:c>
      <x:c r="AG16" s="18" t="n">
        <x:v>0.6241134046602299</x:v>
      </x:c>
      <x:c r="AH16" s="18" t="n">
        <x:v>0.6560386253669672</x:v>
      </x:c>
      <x:c r="AI16" s="18" t="n">
        <x:v>0.8106193455347293</x:v>
      </x:c>
      <x:c r="AJ16" s="18" t="n">
        <x:v>0.8640712255657861</x:v>
      </x:c>
      <x:c r="AK16" s="18" t="n">
        <x:v>0.17723512679750286</x:v>
      </x:c>
      <x:c r="AL16" s="18" t="n">
        <x:v>0.1994284439687211</x:v>
      </x:c>
      <x:c r="AM16" s="18" t="n">
        <x:v>0.5082846890090628</x:v>
      </x:c>
      <x:c r="AN16" s="18" t="n">
        <x:v>0.531739785327292</x:v>
      </x:c>
      <x:c r="AO16" s="18" t="n">
        <x:v>2.0282664578545915</x:v>
      </x:c>
      <x:c r="AP16" s="18" t="n">
        <x:v>2.1987991955099413</x:v>
      </x:c>
      <x:c r="AQ16" s="18" t="n">
        <x:v>2.2649599077649065</x:v>
      </x:c>
      <x:c r="AR16" s="18" t="n">
        <x:v>2.4392757542118293</x:v>
      </x:c>
      <x:c r="AS16" s="18" t="n">
        <x:v>0.2721937204426664</x:v>
      </x:c>
      <x:c r="AT16" s="18" t="n">
        <x:v>0.2967975502681444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9" hidden="0" customWidth="1"/>
    <x:col min="5" max="5" width="20" hidden="0" customWidth="1"/>
    <x:col min="6" max="6" width="20" hidden="0" customWidth="1"/>
    <x:col min="7" max="7" width="23" hidden="0" customWidth="1"/>
    <x:col min="8" max="8" width="21" hidden="0" customWidth="1"/>
    <x:col min="9" max="9" width="21" hidden="0" customWidth="1"/>
    <x:col min="10" max="10" width="23" hidden="0" customWidth="1"/>
    <x:col min="11" max="11" width="34" hidden="0" customWidth="1"/>
    <x:col min="12" max="12" width="32" hidden="0" customWidth="1"/>
    <x:col min="13" max="13" width="30" hidden="0" customWidth="1"/>
    <x:col min="14" max="14" width="21" hidden="0" customWidth="1"/>
    <x:col min="15" max="15" width="21" hidden="0" customWidth="1"/>
    <x:col min="16" max="16" width="27" hidden="0" customWidth="1"/>
    <x:col min="17" max="17" width="30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30" hidden="0" customWidth="1"/>
    <x:col min="26" max="26" width="21" hidden="0" customWidth="1"/>
    <x:col min="27" max="27" width="21" hidden="0" customWidth="1"/>
    <x:col min="28" max="28" width="21" hidden="0" customWidth="1"/>
    <x:col min="29" max="29" width="21" hidden="0" customWidth="1"/>
    <x:col min="30" max="30" width="21" hidden="0" customWidth="1"/>
    <x:col min="31" max="31" width="23" hidden="0" customWidth="1"/>
    <x:col min="32" max="32" width="23" hidden="0" customWidth="1"/>
    <x:col min="33" max="33" width="26" hidden="0" customWidth="1"/>
    <x:col min="34" max="34" width="27" hidden="0" customWidth="1"/>
    <x:col min="35" max="35" width="26" hidden="0" customWidth="1"/>
    <x:col min="36" max="36" width="27" hidden="0" customWidth="1"/>
    <x:col min="37" max="37" width="34" hidden="0" customWidth="1"/>
    <x:col min="38" max="38" width="34" hidden="0" customWidth="1"/>
    <x:col min="39" max="39" width="34" hidden="0" customWidth="1"/>
    <x:col min="40" max="40" width="34" hidden="0" customWidth="1"/>
    <x:col min="41" max="41" width="34" hidden="0" customWidth="1"/>
    <x:col min="42" max="42" width="34" hidden="0" customWidth="1"/>
    <x:col min="43" max="43" width="34" hidden="0" customWidth="1"/>
    <x:col min="44" max="44" width="34" hidden="0" customWidth="1"/>
    <x:col min="45" max="45" width="34" hidden="0" customWidth="1"/>
    <x:col min="46" max="46" width="34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HDR</x:v>
      </x:c>
      <x:c r="I1" s="14" t="str">
        <x:v>ODR</x:v>
      </x:c>
      <x:c r="J1" s="14" t="str">
        <x:v>NetBias</x:v>
      </x:c>
      <x:c r="K1" s="14" t="str">
        <x:v>hidden_auc_display_unavailable_total</x:v>
      </x:c>
      <x:c r="L1" s="14" t="str">
        <x:v>hidden_auc_display_valid_total</x:v>
      </x:c>
      <x:c r="M1" s="14" t="str">
        <x:v>true_auc_display_valid_total</x:v>
      </x:c>
      <x:c r="N1" s="14" t="str">
        <x:v>HDR_display_valid</x:v>
      </x:c>
      <x:c r="O1" s="14" t="str">
        <x:v>ODR_display_valid</x:v>
      </x:c>
      <x:c r="P1" s="14" t="str">
        <x:v>HDR_unavailable_component</x:v>
      </x:c>
      <x:c r="Q1" s="14" t="str">
        <x:v>HDR_valid_mismatch_component</x:v>
      </x:c>
      <x:c r="R1" s="14" t="str">
        <x:v>normotensive_display_discordance_min</x:v>
      </x:c>
      <x:c r="S1" s="14" t="str">
        <x:v>hypotensive_display_discordance_min</x:v>
      </x:c>
      <x:c r="T1" s="14" t="str">
        <x:v>reference_hypotension_with_display_unavailable_min</x:v>
      </x:c>
      <x:c r="U1" s="14" t="str">
        <x:v>normotensive_display_min_per_anesthesia_hour</x:v>
      </x:c>
      <x:c r="V1" s="14" t="str">
        <x:v>normotensive_display_discordance_min_per_anesthesia_hour</x:v>
      </x:c>
      <x:c r="W1" s="14" t="str">
        <x:v>hypotensive_display_discordance_min_per_anesthesia_hour</x:v>
      </x:c>
      <x:c r="X1" s="14" t="str">
        <x:v>reference_hypotension_with_display_unavailable_min_per_anesthesia_hour</x:v>
      </x:c>
      <x:c r="Y1" s="14" t="str">
        <x:v>display_unavailable_fraction</x:v>
      </x:c>
      <x:c r="Z1" s="14" t="str">
        <x:v>episode_sensitivity</x:v>
      </x:c>
      <x:c r="AA1" s="14" t="str">
        <x:v>HDR_ci_low</x:v>
      </x:c>
      <x:c r="AB1" s="14" t="str">
        <x:v>HDR_ci_high</x:v>
      </x:c>
      <x:c r="AC1" s="14" t="str">
        <x:v>ODR_ci_low</x:v>
      </x:c>
      <x:c r="AD1" s="14" t="str">
        <x:v>ODR_ci_high</x:v>
      </x:c>
      <x:c r="AE1" s="14" t="str">
        <x:v>NetBias_ci_low</x:v>
      </x:c>
      <x:c r="AF1" s="14" t="str">
        <x:v>NetBias_ci_high</x:v>
      </x:c>
      <x:c r="AG1" s="14" t="str">
        <x:v>HDR_display_valid_ci_low</x:v>
      </x:c>
      <x:c r="AH1" s="14" t="str">
        <x:v>HDR_display_valid_ci_high</x:v>
      </x:c>
      <x:c r="AI1" s="14" t="str">
        <x:v>ODR_display_valid_ci_low</x:v>
      </x:c>
      <x:c r="AJ1" s="14" t="str">
        <x:v>ODR_display_valid_ci_high</x:v>
      </x:c>
      <x:c r="AK1" s="14" t="str">
        <x:v>HDR_unavailable_component_ci_low</x:v>
      </x:c>
      <x:c r="AL1" s="14" t="str">
        <x:v>HDR_unavailable_component_ci_high</x:v>
      </x:c>
      <x:c r="AM1" s="14" t="str">
        <x:v>HDR_valid_mismatch_component_ci_low</x:v>
      </x:c>
      <x:c r="AN1" s="14" t="str">
        <x:v>HDR_valid_mismatch_component_ci_high</x:v>
      </x:c>
      <x:c r="AO1" s="14" t="str">
        <x:v>normotensive_display_discordance_ci_low</x:v>
      </x:c>
      <x:c r="AP1" s="14" t="str">
        <x:v>normotensive_display_discordance_ci_high</x:v>
      </x:c>
      <x:c r="AQ1" s="14" t="str">
        <x:v>hypotensive_display_discordance_ci_low</x:v>
      </x:c>
      <x:c r="AR1" s="14" t="str">
        <x:v>hypotensive_display_discordance_ci_high</x:v>
      </x:c>
      <x:c r="AS1" s="14" t="str">
        <x:v>reference_hypotension_with_display_unavailable_ci_low</x:v>
      </x:c>
      <x:c r="AT1" s="14" t="str">
        <x:v>reference_hypotension_with_display_unavailable_ci_high</x:v>
      </x:c>
    </x:row>
    <x:row r="2">
      <x:c r="A2" s="16" t="n">
        <x:v>55</x:v>
      </x:c>
      <x:c r="B2" s="18" t="n">
        <x:v>1</x:v>
      </x:c>
      <x:c r="C2" s="16" t="n">
        <x:v>2435</x:v>
      </x:c>
      <x:c r="D2" s="18" t="n">
        <x:v>65826.83333333333</x:v>
      </x:c>
      <x:c r="E2" s="18" t="n">
        <x:v>62557.09722222222</x:v>
      </x:c>
      <x:c r="F2" s="18" t="n">
        <x:v>32430.347222222223</x:v>
      </x:c>
      <x:c r="G2" s="18" t="n">
        <x:v>29160.61111111111</x:v>
      </x:c>
      <x:c r="H2" s="18" t="n">
        <x:v>0.49266151172731826</x:v>
      </x:c>
      <x:c r="I2" s="18" t="n">
        <x:v>0.4429897297876668</x:v>
      </x:c>
      <x:c r="J2" s="18" t="n">
        <x:v>-0.04967178193965146</x:v>
      </x:c>
      <x:c r="K2" s="18" t="n">
        <x:v>11824.055555555555</x:v>
      </x:c>
      <x:c r="L2" s="18" t="n">
        <x:v>20606.291666666664</x:v>
      </x:c>
      <x:c r="M2" s="18" t="n">
        <x:v>54002.777777777774</x:v>
      </x:c>
      <x:c r="N2" s="18" t="n">
        <x:v>0.3815783653104264</x:v>
      </x:c>
      <x:c r="O2" s="18" t="n">
        <x:v>0.5399835399413611</x:v>
      </x:c>
      <x:c r="P2" s="18" t="n">
        <x:v>0.17962364216551338</x:v>
      </x:c>
      <x:c r="Q2" s="18" t="n">
        <x:v>0.31303786956180485</x:v>
      </x:c>
      <x:c r="R2" s="18" t="n">
        <x:v>1862.4444444444443</x:v>
      </x:c>
      <x:c r="S2" s="18" t="n">
        <x:v>2221.5</x:v>
      </x:c>
      <x:c r="T2" s="18" t="n">
        <x:v>484.3611111111111</x:v>
      </x:c>
      <x:c r="U2" s="18" t="n">
        <x:v>0.19287655848476487</x:v>
      </x:c>
      <x:c r="V2" s="18" t="n">
        <x:v>0.19287655848476487</x:v>
      </x:c>
      <x:c r="W2" s="18" t="n">
        <x:v>0.23006070111353938</x:v>
      </x:c>
      <x:c r="X2" s="18" t="n">
        <x:v>0.050160907861514815</x:v>
      </x:c>
      <x:c r="Y2" s="18" t="n">
        <x:v>0.002082013447774392</x:v>
      </x:c>
      <x:c r="Z2" s="18" t="n">
        <x:v>1</x:v>
      </x:c>
      <x:c r="AA2" s="18" t="n">
        <x:v>0.4717328764207174</x:v>
      </x:c>
      <x:c r="AB2" s="18" t="n">
        <x:v>0.5127545564803715</x:v>
      </x:c>
      <x:c r="AC2" s="18" t="n">
        <x:v>0.42353484592397456</x:v>
      </x:c>
      <x:c r="AD2" s="18" t="n">
        <x:v>0.46078179503807665</x:v>
      </x:c>
      <x:c r="AE2" s="18" t="n">
        <x:v>-0.0540998537827277</x:v>
      </x:c>
      <x:c r="AF2" s="18" t="n">
        <x:v>-0.04553501565217803</x:v>
      </x:c>
      <x:c r="AG2" s="18" t="n">
        <x:v>0.36089413069937504</x:v>
      </x:c>
      <x:c r="AH2" s="18" t="n">
        <x:v>0.4007178435897861</x:v>
      </x:c>
      <x:c r="AI2" s="18" t="n">
        <x:v>0.5123818114698664</x:v>
      </x:c>
      <x:c r="AJ2" s="18" t="n">
        <x:v>0.5670186311340546</x:v>
      </x:c>
      <x:c r="AK2" s="18" t="n">
        <x:v>0.16960266581879824</x:v>
      </x:c>
      <x:c r="AL2" s="18" t="n">
        <x:v>0.1910220265247595</x:v>
      </x:c>
      <x:c r="AM2" s="18" t="n">
        <x:v>0.29760669307206505</x:v>
      </x:c>
      <x:c r="AN2" s="18" t="n">
        <x:v>0.32736829382747684</x:v>
      </x:c>
      <x:c r="AO2" s="18" t="n">
        <x:v>0.18246984263235633</x:v>
      </x:c>
      <x:c r="AP2" s="18" t="n">
        <x:v>0.20417666955589667</x:v>
      </x:c>
      <x:c r="AQ2" s="18" t="n">
        <x:v>0.21977344623995623</x:v>
      </x:c>
      <x:c r="AR2" s="18" t="n">
        <x:v>0.24151544117028417</x:v>
      </x:c>
      <x:c r="AS2" s="18" t="n">
        <x:v>0.04840901951126233</x:v>
      </x:c>
      <x:c r="AT2" s="18" t="n">
        <x:v>0.05206593300848691</x:v>
      </x:c>
    </x:row>
    <x:row r="3">
      <x:c r="A3" s="16" t="n">
        <x:v>55</x:v>
      </x:c>
      <x:c r="B3" s="18" t="n">
        <x:v>2.5</x:v>
      </x:c>
      <x:c r="C3" s="16" t="n">
        <x:v>2435</x:v>
      </x:c>
      <x:c r="D3" s="18" t="n">
        <x:v>65826.83333333333</x:v>
      </x:c>
      <x:c r="E3" s="18" t="n">
        <x:v>61718.88888888889</x:v>
      </x:c>
      <x:c r="F3" s="18" t="n">
        <x:v>44952.83888888889</x:v>
      </x:c>
      <x:c r="G3" s="18" t="n">
        <x:v>40844.894444444435</x:v>
      </x:c>
      <x:c r="H3" s="18" t="n">
        <x:v>0.6828953576007083</x:v>
      </x:c>
      <x:c r="I3" s="18" t="n">
        <x:v>0.6204900399448721</x:v>
      </x:c>
      <x:c r="J3" s="18" t="n">
        <x:v>-0.062405317655836186</x:v>
      </x:c>
      <x:c r="K3" s="18" t="n">
        <x:v>18946.19444444444</x:v>
      </x:c>
      <x:c r="L3" s="18" t="n">
        <x:v>26006.644444444442</x:v>
      </x:c>
      <x:c r="M3" s="18" t="n">
        <x:v>46880.63888888889</x:v>
      </x:c>
      <x:c r="N3" s="18" t="n">
        <x:v>0.5547416814451357</x:v>
      </x:c>
      <x:c r="O3" s="18" t="n">
        <x:v>0.8712529396463712</x:v>
      </x:c>
      <x:c r="P3" s="18" t="n">
        <x:v>0.2878187129024553</x:v>
      </x:c>
      <x:c r="Q3" s="18" t="n">
        <x:v>0.39507664469825293</x:v>
      </x:c>
      <x:c r="R3" s="18" t="n">
        <x:v>2709.844444444444</x:v>
      </x:c>
      <x:c r="S3" s="18" t="n">
        <x:v>3364.4666666666662</x:v>
      </x:c>
      <x:c r="T3" s="18" t="n">
        <x:v>813.0111111111111</x:v>
      </x:c>
      <x:c r="U3" s="18" t="n">
        <x:v>0.2806341268501095</x:v>
      </x:c>
      <x:c r="V3" s="18" t="n">
        <x:v>0.2806341268501095</x:v>
      </x:c>
      <x:c r="W3" s="18" t="n">
        <x:v>0.34842744101123835</x:v>
      </x:c>
      <x:c r="X3" s="18" t="n">
        <x:v>0.08419622157790677</x:v>
      </x:c>
      <x:c r="Y3" s="18" t="n">
        <x:v>0.005628978512184807</x:v>
      </x:c>
      <x:c r="Z3" s="18" t="n">
        <x:v>0.7519071310116087</x:v>
      </x:c>
      <x:c r="AA3" s="18" t="n">
        <x:v>0.6585083870467846</x:v>
      </x:c>
      <x:c r="AB3" s="18" t="n">
        <x:v>0.7051092363208078</x:v>
      </x:c>
      <x:c r="AC3" s="18" t="n">
        <x:v>0.5984429589618717</x:v>
      </x:c>
      <x:c r="AD3" s="18" t="n">
        <x:v>0.6405279201369606</x:v>
      </x:c>
      <x:c r="AE3" s="18" t="n">
        <x:v>-0.06799982394987163</x:v>
      </x:c>
      <x:c r="AF3" s="18" t="n">
        <x:v>-0.05687245695878482</x:v>
      </x:c>
      <x:c r="AG3" s="18" t="n">
        <x:v>0.5265902523113513</x:v>
      </x:c>
      <x:c r="AH3" s="18" t="n">
        <x:v>0.5811115590138931</x:v>
      </x:c>
      <x:c r="AI3" s="18" t="n">
        <x:v>0.8280631796692735</x:v>
      </x:c>
      <x:c r="AJ3" s="18" t="n">
        <x:v>0.9142810701031789</x:v>
      </x:c>
      <x:c r="AK3" s="18" t="n">
        <x:v>0.2719639825772757</x:v>
      </x:c>
      <x:c r="AL3" s="18" t="n">
        <x:v>0.3030969671039165</x:v>
      </x:c>
      <x:c r="AM3" s="18" t="n">
        <x:v>0.3775066078309294</x:v>
      </x:c>
      <x:c r="AN3" s="18" t="n">
        <x:v>0.41233582414835473</x:v>
      </x:c>
      <x:c r="AO3" s="18" t="n">
        <x:v>0.2644098159722509</x:v>
      </x:c>
      <x:c r="AP3" s="18" t="n">
        <x:v>0.29800245643047446</x:v>
      </x:c>
      <x:c r="AQ3" s="18" t="n">
        <x:v>0.33180451837254804</x:v>
      </x:c>
      <x:c r="AR3" s="18" t="n">
        <x:v>0.36669005156424794</x:v>
      </x:c>
      <x:c r="AS3" s="18" t="n">
        <x:v>0.08063461069074669</x:v>
      </x:c>
      <x:c r="AT3" s="18" t="n">
        <x:v>0.08772755315918365</x:v>
      </x:c>
    </x:row>
    <x:row r="4">
      <x:c r="A4" s="16" t="n">
        <x:v>55</x:v>
      </x:c>
      <x:c r="B4" s="18" t="n">
        <x:v>3</x:v>
      </x:c>
      <x:c r="C4" s="16" t="n">
        <x:v>2435</x:v>
      </x:c>
      <x:c r="D4" s="18" t="n">
        <x:v>65826.83333333333</x:v>
      </x:c>
      <x:c r="E4" s="18" t="n">
        <x:v>61580.22222222222</x:v>
      </x:c>
      <x:c r="F4" s="18" t="n">
        <x:v>47019.31018518518</x:v>
      </x:c>
      <x:c r="G4" s="18" t="n">
        <x:v>42772.69907407407</x:v>
      </x:c>
      <x:c r="H4" s="18" t="n">
        <x:v>0.7142878945291082</x:v>
      </x:c>
      <x:c r="I4" s="18" t="n">
        <x:v>0.6497760397721407</x:v>
      </x:c>
      <x:c r="J4" s="18" t="n">
        <x:v>-0.06451185475696755</x:v>
      </x:c>
      <x:c r="K4" s="18" t="n">
        <x:v>20280.88888888889</x:v>
      </x:c>
      <x:c r="L4" s="18" t="n">
        <x:v>26738.421296296296</x:v>
      </x:c>
      <x:c r="M4" s="18" t="n">
        <x:v>45545.94444444444</x:v>
      </x:c>
      <x:c r="N4" s="18" t="n">
        <x:v>0.5870648116411552</x:v>
      </x:c>
      <x:c r="O4" s="18" t="n">
        <x:v>0.9391110360275198</x:v>
      </x:c>
      <x:c r="P4" s="18" t="n">
        <x:v>0.3080945544834385</x:v>
      </x:c>
      <x:c r="Q4" s="18" t="n">
        <x:v>0.4061933400456698</x:v>
      </x:c>
      <x:c r="R4" s="18" t="n">
        <x:v>2862.675925925926</x:v>
      </x:c>
      <x:c r="S4" s="18" t="n">
        <x:v>3580.2129629629626</x:v>
      </x:c>
      <x:c r="T4" s="18" t="n">
        <x:v>882.4814814814814</x:v>
      </x:c>
      <x:c r="U4" s="18" t="n">
        <x:v>0.29646150374943464</x:v>
      </x:c>
      <x:c r="V4" s="18" t="n">
        <x:v>0.29646150374943464</x:v>
      </x:c>
      <x:c r="W4" s="18" t="n">
        <x:v>0.3707703373374033</x:v>
      </x:c>
      <x:c r="X4" s="18" t="n">
        <x:v>0.09139064071543755</x:v>
      </x:c>
      <x:c r="Y4" s="18" t="n">
        <x:v>0.006819282582848449</x:v>
      </x:c>
      <x:c r="Z4" s="18" t="n">
        <x:v>0.683605780620706</x:v>
      </x:c>
      <x:c r="AA4" s="18" t="n">
        <x:v>0.6904980046308838</x:v>
      </x:c>
      <x:c r="AB4" s="18" t="n">
        <x:v>0.7377268194962168</x:v>
      </x:c>
      <x:c r="AC4" s="18" t="n">
        <x:v>0.6276061921095174</x:v>
      </x:c>
      <x:c r="AD4" s="18" t="n">
        <x:v>0.6701912669636111</x:v>
      </x:c>
      <x:c r="AE4" s="18" t="n">
        <x:v>-0.07094171486384315</x:v>
      </x:c>
      <x:c r="AF4" s="18" t="n">
        <x:v>-0.05879402923933055</x:v>
      </x:c>
      <x:c r="AG4" s="18" t="n">
        <x:v>0.5568469881835648</x:v>
      </x:c>
      <x:c r="AH4" s="18" t="n">
        <x:v>0.6150056180271516</x:v>
      </x:c>
      <x:c r="AI4" s="18" t="n">
        <x:v>0.8944405028544276</x:v>
      </x:c>
      <x:c r="AJ4" s="18" t="n">
        <x:v>0.987261985751229</x:v>
      </x:c>
      <x:c r="AK4" s="18" t="n">
        <x:v>0.29280296315041154</x:v>
      </x:c>
      <x:c r="AL4" s="18" t="n">
        <x:v>0.3260384327006635</x:v>
      </x:c>
      <x:c r="AM4" s="18" t="n">
        <x:v>0.38575981808087506</x:v>
      </x:c>
      <x:c r="AN4" s="18" t="n">
        <x:v>0.4247113959798592</x:v>
      </x:c>
      <x:c r="AO4" s="18" t="n">
        <x:v>0.2772518494476365</x:v>
      </x:c>
      <x:c r="AP4" s="18" t="n">
        <x:v>0.3144132161334202</x:v>
      </x:c>
      <x:c r="AQ4" s="18" t="n">
        <x:v>0.35079774886485543</x:v>
      </x:c>
      <x:c r="AR4" s="18" t="n">
        <x:v>0.3893612577318306</x:v>
      </x:c>
      <x:c r="AS4" s="18" t="n">
        <x:v>0.08710148945654458</x:v>
      </x:c>
      <x:c r="AT4" s="18" t="n">
        <x:v>0.09569047479621964</x:v>
      </x:c>
    </x:row>
    <x:row r="5">
      <x:c r="A5" s="16" t="n">
        <x:v>55</x:v>
      </x:c>
      <x:c r="B5" s="18" t="n">
        <x:v>5</x:v>
      </x:c>
      <x:c r="C5" s="16" t="n">
        <x:v>2435</x:v>
      </x:c>
      <x:c r="D5" s="18" t="n">
        <x:v>65826.83333333333</x:v>
      </x:c>
      <x:c r="E5" s="18" t="n">
        <x:v>61570.11111111111</x:v>
      </x:c>
      <x:c r="F5" s="18" t="n">
        <x:v>52196.225000000006</x:v>
      </x:c>
      <x:c r="G5" s="18" t="n">
        <x:v>47939.50277777777</x:v>
      </x:c>
      <x:c r="H5" s="18" t="n">
        <x:v>0.792932340155104</x:v>
      </x:c>
      <x:c r="I5" s="18" t="n">
        <x:v>0.7282668837345122</x:v>
      </x:c>
      <x:c r="J5" s="18" t="n">
        <x:v>-0.06466545642059192</x:v>
      </x:c>
      <x:c r="K5" s="18" t="n">
        <x:v>24012.73611111111</x:v>
      </x:c>
      <x:c r="L5" s="18" t="n">
        <x:v>28183.48888888889</x:v>
      </x:c>
      <x:c r="M5" s="18" t="n">
        <x:v>41814.09722222222</x:v>
      </x:c>
      <x:c r="N5" s="18" t="n">
        <x:v>0.6740188300397095</x:v>
      </x:c>
      <x:c r="O5" s="18" t="n">
        <x:v>1.1464913979369664</x:v>
      </x:c>
      <x:c r="P5" s="18" t="n">
        <x:v>0.3647864388298254</x:v>
      </x:c>
      <x:c r="Q5" s="18" t="n">
        <x:v>0.4281459013252786</x:v>
      </x:c>
      <x:c r="R5" s="18" t="n">
        <x:v>3224.8166666666666</x:v>
      </x:c>
      <x:c r="S5" s="18" t="n">
        <x:v>4146.277777777777</x:v>
      </x:c>
      <x:c r="T5" s="18" t="n">
        <x:v>1092.4833333333333</x:v>
      </x:c>
      <x:c r="U5" s="18" t="n">
        <x:v>0.33396515115730824</x:v>
      </x:c>
      <x:c r="V5" s="18" t="n">
        <x:v>0.33396515115730824</x:v>
      </x:c>
      <x:c r="W5" s="18" t="n">
        <x:v>0.42939256023724665</x:v>
      </x:c>
      <x:c r="X5" s="18" t="n">
        <x:v>0.1131386367866411</x:v>
      </x:c>
      <x:c r="Y5" s="18" t="n">
        <x:v>0.011500936016123715</x:v>
      </x:c>
      <x:c r="Z5" s="18" t="n">
        <x:v>0.50075811419095</x:v>
      </x:c>
      <x:c r="AA5" s="18" t="n">
        <x:v>0.7678969476865211</x:v>
      </x:c>
      <x:c r="AB5" s="18" t="n">
        <x:v>0.8131092099300875</x:v>
      </x:c>
      <x:c r="AC5" s="18" t="n">
        <x:v>0.7056561732009629</x:v>
      </x:c>
      <x:c r="AD5" s="18" t="n">
        <x:v>0.7469690579675997</x:v>
      </x:c>
      <x:c r="AE5" s="18" t="n">
        <x:v>-0.07183907097213026</x:v>
      </x:c>
      <x:c r="AF5" s="18" t="n">
        <x:v>-0.058649429312908195</x:v>
      </x:c>
      <x:c r="AG5" s="18" t="n">
        <x:v>0.640590100239216</x:v>
      </x:c>
      <x:c r="AH5" s="18" t="n">
        <x:v>0.7037332804820352</x:v>
      </x:c>
      <x:c r="AI5" s="18" t="n">
        <x:v>1.0885589749357285</x:v>
      </x:c>
      <x:c r="AJ5" s="18" t="n">
        <x:v>1.2024962383207316</x:v>
      </x:c>
      <x:c r="AK5" s="18" t="n">
        <x:v>0.3453686479643148</x:v>
      </x:c>
      <x:c r="AL5" s="18" t="n">
        <x:v>0.3849269681902266</x:v>
      </x:c>
      <x:c r="AM5" s="18" t="n">
        <x:v>0.40726249713437856</x:v>
      </x:c>
      <x:c r="AN5" s="18" t="n">
        <x:v>0.4487094235192176</x:v>
      </x:c>
      <x:c r="AO5" s="18" t="n">
        <x:v>0.31334060924642376</x:v>
      </x:c>
      <x:c r="AP5" s="18" t="n">
        <x:v>0.3563789314561789</x:v>
      </x:c>
      <x:c r="AQ5" s="18" t="n">
        <x:v>0.40759638645895097</x:v>
      </x:c>
      <x:c r="AR5" s="18" t="n">
        <x:v>0.45341572313263034</x:v>
      </x:c>
      <x:c r="AS5" s="18" t="n">
        <x:v>0.10750534938566957</x:v>
      </x:c>
      <x:c r="AT5" s="18" t="n">
        <x:v>0.11841617960772131</x:v>
      </x:c>
    </x:row>
    <x:row r="6">
      <x:c r="A6" s="16" t="n">
        <x:v>55</x:v>
      </x:c>
      <x:c r="B6" s="18" t="n">
        <x:v>10</x:v>
      </x:c>
      <x:c r="C6" s="16" t="n">
        <x:v>2435</x:v>
      </x:c>
      <x:c r="D6" s="18" t="n">
        <x:v>65826.83333333333</x:v>
      </x:c>
      <x:c r="E6" s="18" t="n">
        <x:v>61455.54861111111</x:v>
      </x:c>
      <x:c r="F6" s="18" t="n">
        <x:v>57233.96111111111</x:v>
      </x:c>
      <x:c r="G6" s="18" t="n">
        <x:v>52862.67638888888</x:v>
      </x:c>
      <x:c r="H6" s="18" t="n">
        <x:v>0.8694624701341821</x:v>
      </x:c>
      <x:c r="I6" s="18" t="n">
        <x:v>0.8030566520069914</x:v>
      </x:c>
      <x:c r="J6" s="18" t="n">
        <x:v>-0.06640581812719068</x:v>
      </x:c>
      <x:c r="K6" s="18" t="n">
        <x:v>28758.1125</x:v>
      </x:c>
      <x:c r="L6" s="18" t="n">
        <x:v>28475.848611111112</x:v>
      </x:c>
      <x:c r="M6" s="18" t="n">
        <x:v>37068.72083333333</x:v>
      </x:c>
      <x:c r="N6" s="18" t="n">
        <x:v>0.7681907541170062</x:v>
      </x:c>
      <x:c r="O6" s="18" t="n">
        <x:v>1.4260723111155522</x:v>
      </x:c>
      <x:c r="P6" s="18" t="n">
        <x:v>0.43687522312329574</x:v>
      </x:c>
      <x:c r="Q6" s="18" t="n">
        <x:v>0.43258724701088636</x:v>
      </x:c>
      <x:c r="R6" s="18" t="n">
        <x:v>3497.1083333333336</x:v>
      </x:c>
      <x:c r="S6" s="18" t="n">
        <x:v>4734.655555555555</x:v>
      </x:c>
      <x:c r="T6" s="18" t="n">
        <x:v>1431.9555555555555</x:v>
      </x:c>
      <x:c r="U6" s="18" t="n">
        <x:v>0.3621639410473409</x:v>
      </x:c>
      <x:c r="V6" s="18" t="n">
        <x:v>0.3621639410473409</x:v>
      </x:c>
      <x:c r="W6" s="18" t="n">
        <x:v>0.49032553528796996</x:v>
      </x:c>
      <x:c r="X6" s="18" t="n">
        <x:v>0.14829471036441091</x:v>
      </x:c>
      <x:c r="Y6" s="18" t="n">
        <x:v>0.023109785562375373</x:v>
      </x:c>
      <x:c r="Z6" s="18" t="n">
        <x:v>0.3127339493011135</x:v>
      </x:c>
      <x:c r="AA6" s="18" t="n">
        <x:v>0.8505865663839545</x:v>
      </x:c>
      <x:c r="AB6" s="18" t="n">
        <x:v>0.8888676313044542</x:v>
      </x:c>
      <x:c r="AC6" s="18" t="n">
        <x:v>0.7858094803732508</x:v>
      </x:c>
      <x:c r="AD6" s="18" t="n">
        <x:v>0.8203015137193459</x:v>
      </x:c>
      <x:c r="AE6" s="18" t="n">
        <x:v>-0.07420906424687536</x:v>
      </x:c>
      <x:c r="AF6" s="18" t="n">
        <x:v>-0.05912890728604223</x:v>
      </x:c>
      <x:c r="AG6" s="18" t="n">
        <x:v>0.7378091394854353</x:v>
      </x:c>
      <x:c r="AH6" s="18" t="n">
        <x:v>0.7990312153355649</x:v>
      </x:c>
      <x:c r="AI6" s="18" t="n">
        <x:v>1.3591300388200387</x:v>
      </x:c>
      <x:c r="AJ6" s="18" t="n">
        <x:v>1.4967575839839151</x:v>
      </x:c>
      <x:c r="AK6" s="18" t="n">
        <x:v>0.41619184496196776</x:v>
      </x:c>
      <x:c r="AL6" s="18" t="n">
        <x:v>0.4577556254655984</x:v>
      </x:c>
      <x:c r="AM6" s="18" t="n">
        <x:v>0.4123373849043761</x:v>
      </x:c>
      <x:c r="AN6" s="18" t="n">
        <x:v>0.4531475479855796</x:v>
      </x:c>
      <x:c r="AO6" s="18" t="n">
        <x:v>0.33560340948193684</x:v>
      </x:c>
      <x:c r="AP6" s="18" t="n">
        <x:v>0.3915570951554207</x:v>
      </x:c>
      <x:c r="AQ6" s="18" t="n">
        <x:v>0.4612068875199601</x:v>
      </x:c>
      <x:c r="AR6" s="18" t="n">
        <x:v>0.5215369253102995</x:v>
      </x:c>
      <x:c r="AS6" s="18" t="n">
        <x:v>0.1407523406521181</x:v>
      </x:c>
      <x:c r="AT6" s="18" t="n">
        <x:v>0.1562292479330387</x:v>
      </x:c>
    </x:row>
    <x:row r="7">
      <x:c r="A7" s="16" t="n">
        <x:v>60</x:v>
      </x:c>
      <x:c r="B7" s="18" t="n">
        <x:v>1</x:v>
      </x:c>
      <x:c r="C7" s="16" t="n">
        <x:v>2435</x:v>
      </x:c>
      <x:c r="D7" s="18" t="n">
        <x:v>120110.5</x:v>
      </x:c>
      <x:c r="E7" s="18" t="n">
        <x:v>116199.31944444444</x:v>
      </x:c>
      <x:c r="F7" s="18" t="n">
        <x:v>49180.19444444444</x:v>
      </x:c>
      <x:c r="G7" s="18" t="n">
        <x:v>45269.01388888888</x:v>
      </x:c>
      <x:c r="H7" s="18" t="n">
        <x:v>0.409457911210464</x:v>
      </x:c>
      <x:c r="I7" s="18" t="n">
        <x:v>0.3768947251813029</x:v>
      </x:c>
      <x:c r="J7" s="18" t="n">
        <x:v>-0.032563186029161105</x:v>
      </x:c>
      <x:c r="K7" s="18" t="n">
        <x:v>14389.472222222223</x:v>
      </x:c>
      <x:c r="L7" s="18" t="n">
        <x:v>34790.72222222222</x:v>
      </x:c>
      <x:c r="M7" s="18" t="n">
        <x:v>105721.02777777778</x:v>
      </x:c>
      <x:c r="N7" s="18" t="n">
        <x:v>0.3290804389014379</x:v>
      </x:c>
      <x:c r="O7" s="18" t="n">
        <x:v>0.42819309309064707</x:v>
      </x:c>
      <x:c r="P7" s="18" t="n">
        <x:v>0.1198019508887418</x:v>
      </x:c>
      <x:c r="Q7" s="18" t="n">
        <x:v>0.28965596032172225</x:v>
      </x:c>
      <x:c r="R7" s="18" t="n">
        <x:v>3652.8055555555557</x:v>
      </x:c>
      <x:c r="S7" s="18" t="n">
        <x:v>4055.0277777777774</x:v>
      </x:c>
      <x:c r="T7" s="18" t="n">
        <x:v>533.1944444444445</x:v>
      </x:c>
      <x:c r="U7" s="18" t="n">
        <x:v>0.3782880968456191</x:v>
      </x:c>
      <x:c r="V7" s="18" t="n">
        <x:v>0.3782880968456191</x:v>
      </x:c>
      <x:c r="W7" s="18" t="n">
        <x:v>0.4199426214676718</x:v>
      </x:c>
      <x:c r="X7" s="18" t="n">
        <x:v>0.055218135367424266</x:v>
      </x:c>
      <x:c r="Y7" s="18" t="n">
        <x:v>0.002082013447774392</x:v>
      </x:c>
      <x:c r="Z7" s="18" t="n">
        <x:v>1</x:v>
      </x:c>
      <x:c r="AA7" s="18" t="n">
        <x:v>0.39439234252987393</x:v>
      </x:c>
      <x:c r="AB7" s="18" t="n">
        <x:v>0.42495908559230094</x:v>
      </x:c>
      <x:c r="AC7" s="18" t="n">
        <x:v>0.36327493044039166</x:v>
      </x:c>
      <x:c r="AD7" s="18" t="n">
        <x:v>0.39092073816483963</x:v>
      </x:c>
      <x:c r="AE7" s="18" t="n">
        <x:v>-0.0353999286583372</x:v>
      </x:c>
      <x:c r="AF7" s="18" t="n">
        <x:v>-0.029973971312774215</x:v>
      </x:c>
      <x:c r="AG7" s="18" t="n">
        <x:v>0.31581367862195403</x:v>
      </x:c>
      <x:c r="AH7" s="18" t="n">
        <x:v>0.34282930397878875</x:v>
      </x:c>
      <x:c r="AI7" s="18" t="n">
        <x:v>0.41022377994007164</x:v>
      </x:c>
      <x:c r="AJ7" s="18" t="n">
        <x:v>0.4472063038900626</x:v>
      </x:c>
      <x:c r="AK7" s="18" t="n">
        <x:v>0.11261090877376047</x:v>
      </x:c>
      <x:c r="AL7" s="18" t="n">
        <x:v>0.12736426124922673</x:v>
      </x:c>
      <x:c r="AM7" s="18" t="n">
        <x:v>0.2791220501346342</x:v>
      </x:c>
      <x:c r="AN7" s="18" t="n">
        <x:v>0.30088773822002807</x:v>
      </x:c>
      <x:c r="AO7" s="18" t="n">
        <x:v>0.3615279309435162</x:v>
      </x:c>
      <x:c r="AP7" s="18" t="n">
        <x:v>0.3959397094687931</x:v>
      </x:c>
      <x:c r="AQ7" s="18" t="n">
        <x:v>0.40291205245617473</x:v>
      </x:c>
      <x:c r="AR7" s="18" t="n">
        <x:v>0.4377600685174235</x:v>
      </x:c>
      <x:c r="AS7" s="18" t="n">
        <x:v>0.05335936095601035</x:v>
      </x:c>
      <x:c r="AT7" s="18" t="n">
        <x:v>0.05709060094445349</x:v>
      </x:c>
    </x:row>
    <x:row r="8">
      <x:c r="A8" s="16" t="n">
        <x:v>60</x:v>
      </x:c>
      <x:c r="B8" s="18" t="n">
        <x:v>2.5</x:v>
      </x:c>
      <x:c r="C8" s="16" t="n">
        <x:v>2435</x:v>
      </x:c>
      <x:c r="D8" s="18" t="n">
        <x:v>120110.5</x:v>
      </x:c>
      <x:c r="E8" s="18" t="n">
        <x:v>115174.68333333333</x:v>
      </x:c>
      <x:c r="F8" s="18" t="n">
        <x:v>71530.43333333332</x:v>
      </x:c>
      <x:c r="G8" s="18" t="n">
        <x:v>66594.61666666667</x:v>
      </x:c>
      <x:c r="H8" s="18" t="n">
        <x:v>0.5955385526938387</x:v>
      </x:c>
      <x:c r="I8" s="18" t="n">
        <x:v>0.5544445878309279</x:v>
      </x:c>
      <x:c r="J8" s="18" t="n">
        <x:v>-0.04109396486291083</x:v>
      </x:c>
      <x:c r="K8" s="18" t="n">
        <x:v>23391.355555555554</x:v>
      </x:c>
      <x:c r="L8" s="18" t="n">
        <x:v>48139.07777777777</x:v>
      </x:c>
      <x:c r="M8" s="18" t="n">
        <x:v>96719.14444444444</x:v>
      </x:c>
      <x:c r="N8" s="18" t="n">
        <x:v>0.4977202605987577</x:v>
      </x:c>
      <x:c r="O8" s="18" t="n">
        <x:v>0.6885360395729997</x:v>
      </x:c>
      <x:c r="P8" s="18" t="n">
        <x:v>0.19474863193105976</x:v>
      </x:c>
      <x:c r="Q8" s="18" t="n">
        <x:v>0.40078992076277903</x:v>
      </x:c>
      <x:c r="R8" s="18" t="n">
        <x:v>5914.955555555555</x:v>
      </x:c>
      <x:c r="S8" s="18" t="n">
        <x:v>6683.122222222221</x:v>
      </x:c>
      <x:c r="T8" s="18" t="n">
        <x:v>942.5222222222221</x:v>
      </x:c>
      <x:c r="U8" s="18" t="n">
        <x:v>0.6125585515041799</x:v>
      </x:c>
      <x:c r="V8" s="18" t="n">
        <x:v>0.6125585515041799</x:v>
      </x:c>
      <x:c r="W8" s="18" t="n">
        <x:v>0.6921106387899705</x:v>
      </x:c>
      <x:c r="X8" s="18" t="n">
        <x:v>0.09760851823521746</x:v>
      </x:c>
      <x:c r="Y8" s="18" t="n">
        <x:v>0.005628978512184807</x:v>
      </x:c>
      <x:c r="Z8" s="18" t="n">
        <x:v>0.79651728553137</x:v>
      </x:c>
      <x:c r="AA8" s="18" t="n">
        <x:v>0.5753943054789009</x:v>
      </x:c>
      <x:c r="AB8" s="18" t="n">
        <x:v>0.6139958250003461</x:v>
      </x:c>
      <x:c r="AC8" s="18" t="n">
        <x:v>0.536371302982288</x:v>
      </x:c>
      <x:c r="AD8" s="18" t="n">
        <x:v>0.5710156553423231</x:v>
      </x:c>
      <x:c r="AE8" s="18" t="n">
        <x:v>-0.045109383112637916</x:v>
      </x:c>
      <x:c r="AF8" s="18" t="n">
        <x:v>-0.036958329935073066</x:v>
      </x:c>
      <x:c r="AG8" s="18" t="n">
        <x:v>0.47852857120677605</x:v>
      </x:c>
      <x:c r="AH8" s="18" t="n">
        <x:v>0.5165050466367798</x:v>
      </x:c>
      <x:c r="AI8" s="18" t="n">
        <x:v>0.6589025630749251</x:v>
      </x:c>
      <x:c r="AJ8" s="18" t="n">
        <x:v>0.7173009853563121</x:v>
      </x:c>
      <x:c r="AK8" s="18" t="n">
        <x:v>0.18307010852318137</x:v>
      </x:c>
      <x:c r="AL8" s="18" t="n">
        <x:v>0.2070669863893434</x:v>
      </x:c>
      <x:c r="AM8" s="18" t="n">
        <x:v>0.387049746643774</x:v>
      </x:c>
      <x:c r="AN8" s="18" t="n">
        <x:v>0.4146861197116049</x:v>
      </x:c>
      <x:c r="AO8" s="18" t="n">
        <x:v>0.5821141406873936</x:v>
      </x:c>
      <x:c r="AP8" s="18" t="n">
        <x:v>0.6424624602534639</x:v>
      </x:c>
      <x:c r="AQ8" s="18" t="n">
        <x:v>0.6602661220026866</x:v>
      </x:c>
      <x:c r="AR8" s="18" t="n">
        <x:v>0.7221540913971431</x:v>
      </x:c>
      <x:c r="AS8" s="18" t="n">
        <x:v>0.09369428310215643</x:v>
      </x:c>
      <x:c r="AT8" s="18" t="n">
        <x:v>0.10165443431304261</x:v>
      </x:c>
    </x:row>
    <x:row r="9">
      <x:c r="A9" s="16" t="n">
        <x:v>60</x:v>
      </x:c>
      <x:c r="B9" s="18" t="n">
        <x:v>3</x:v>
      </x:c>
      <x:c r="C9" s="16" t="n">
        <x:v>2435</x:v>
      </x:c>
      <x:c r="D9" s="18" t="n">
        <x:v>120110.5</x:v>
      </x:c>
      <x:c r="E9" s="18" t="n">
        <x:v>114987.86574074073</x:v>
      </x:c>
      <x:c r="F9" s="18" t="n">
        <x:v>75612.58796296296</x:v>
      </x:c>
      <x:c r="G9" s="18" t="n">
        <x:v>70489.95370370371</x:v>
      </x:c>
      <x:c r="H9" s="18" t="n">
        <x:v>0.6295252118920741</x:v>
      </x:c>
      <x:c r="I9" s="18" t="n">
        <x:v>0.586875866004252</x:v>
      </x:c>
      <x:c r="J9" s="18" t="n">
        <x:v>-0.04264934588782209</x:v>
      </x:c>
      <x:c r="K9" s="18" t="n">
        <x:v>25145.53240740741</x:v>
      </x:c>
      <x:c r="L9" s="18" t="n">
        <x:v>50467.055555555555</x:v>
      </x:c>
      <x:c r="M9" s="18" t="n">
        <x:v>94964.96759259258</x:v>
      </x:c>
      <x:c r="N9" s="18" t="n">
        <x:v>0.531428134341743</x:v>
      </x:c>
      <x:c r="O9" s="18" t="n">
        <x:v>0.7422732349692502</x:v>
      </x:c>
      <x:c r="P9" s="18" t="n">
        <x:v>0.2093533238759926</x:v>
      </x:c>
      <x:c r="Q9" s="18" t="n">
        <x:v>0.42017188801608146</x:v>
      </x:c>
      <x:c r="R9" s="18" t="n">
        <x:v>6393.185185185184</x:v>
      </x:c>
      <x:c r="S9" s="18" t="n">
        <x:v>7242.62037037037</x:v>
      </x:c>
      <x:c r="T9" s="18" t="n">
        <x:v>1037.0462962962963</x:v>
      </x:c>
      <x:c r="U9" s="18" t="n">
        <x:v>0.6620844771786615</x:v>
      </x:c>
      <x:c r="V9" s="18" t="n">
        <x:v>0.6620844771786615</x:v>
      </x:c>
      <x:c r="W9" s="18" t="n">
        <x:v>0.7500528113016474</x:v>
      </x:c>
      <x:c r="X9" s="18" t="n">
        <x:v>0.10739752330097917</x:v>
      </x:c>
      <x:c r="Y9" s="18" t="n">
        <x:v>0.006819282582848449</x:v>
      </x:c>
      <x:c r="Z9" s="18" t="n">
        <x:v>0.7367335325081804</x:v>
      </x:c>
      <x:c r="AA9" s="18" t="n">
        <x:v>0.6097428292016002</x:v>
      </x:c>
      <x:c r="AB9" s="18" t="n">
        <x:v>0.6474385189908423</x:v>
      </x:c>
      <x:c r="AC9" s="18" t="n">
        <x:v>0.56916210923764</x:v>
      </x:c>
      <x:c r="AD9" s="18" t="n">
        <x:v>0.6029447344931383</x:v>
      </x:c>
      <x:c r="AE9" s="18" t="n">
        <x:v>-0.04640989434681046</x:v>
      </x:c>
      <x:c r="AF9" s="18" t="n">
        <x:v>-0.03865344381235326</x:v>
      </x:c>
      <x:c r="AG9" s="18" t="n">
        <x:v>0.5101918496452763</x:v>
      </x:c>
      <x:c r="AH9" s="18" t="n">
        <x:v>0.5495314277388766</x:v>
      </x:c>
      <x:c r="AI9" s="18" t="n">
        <x:v>0.7129310516538547</x:v>
      </x:c>
      <x:c r="AJ9" s="18" t="n">
        <x:v>0.7717818076429488</x:v>
      </x:c>
      <x:c r="AK9" s="18" t="n">
        <x:v>0.19716419868052623</x:v>
      </x:c>
      <x:c r="AL9" s="18" t="n">
        <x:v>0.22292561096910896</x:v>
      </x:c>
      <x:c r="AM9" s="18" t="n">
        <x:v>0.4050275440183012</x:v>
      </x:c>
      <x:c r="AN9" s="18" t="n">
        <x:v>0.4335906734032729</x:v>
      </x:c>
      <x:c r="AO9" s="18" t="n">
        <x:v>0.6312612173080238</x:v>
      </x:c>
      <x:c r="AP9" s="18" t="n">
        <x:v>0.694058711552002</x:v>
      </x:c>
      <x:c r="AQ9" s="18" t="n">
        <x:v>0.7185333780778957</x:v>
      </x:c>
      <x:c r="AR9" s="18" t="n">
        <x:v>0.7822247340221775</x:v>
      </x:c>
      <x:c r="AS9" s="18" t="n">
        <x:v>0.1030501706570122</x:v>
      </x:c>
      <x:c r="AT9" s="18" t="n">
        <x:v>0.11217482257530878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8" t="n">
        <x:v>120110.5</x:v>
      </x:c>
      <x:c r="E10" s="18" t="n">
        <x:v>114906.34444444445</x:v>
      </x:c>
      <x:c r="F10" s="18" t="n">
        <x:v>86197.83055555556</x:v>
      </x:c>
      <x:c r="G10" s="18" t="n">
        <x:v>80993.67499999999</x:v>
      </x:c>
      <x:c r="H10" s="18" t="n">
        <x:v>0.7176544145229231</x:v>
      </x:c>
      <x:c r="I10" s="18" t="n">
        <x:v>0.6743263494865144</x:v>
      </x:c>
      <x:c r="J10" s="18" t="n">
        <x:v>-0.04332806503640871</x:v>
      </x:c>
      <x:c r="K10" s="18" t="n">
        <x:v>30198.48055555555</x:v>
      </x:c>
      <x:c r="L10" s="18" t="n">
        <x:v>55999.35</x:v>
      </x:c>
      <x:c r="M10" s="18" t="n">
        <x:v>89912.01944444444</x:v>
      </x:c>
      <x:c r="N10" s="18" t="n">
        <x:v>0.6228238487580776</x:v>
      </x:c>
      <x:c r="O10" s="18" t="n">
        <x:v>0.9008103199155149</x:v>
      </x:c>
      <x:c r="P10" s="18" t="n">
        <x:v>0.2514224864233814</x:v>
      </x:c>
      <x:c r="Q10" s="18" t="n">
        <x:v>0.46623192809954167</x:v>
      </x:c>
      <x:c r="R10" s="18" t="n">
        <x:v>7655.35</x:v>
      </x:c>
      <x:c r="S10" s="18" t="n">
        <x:v>8793.65</x:v>
      </x:c>
      <x:c r="T10" s="18" t="n">
        <x:v>1344.072222222222</x:v>
      </x:c>
      <x:c r="U10" s="18" t="n">
        <x:v>0.7927954932565986</x:v>
      </x:c>
      <x:c r="V10" s="18" t="n">
        <x:v>0.7927954932565986</x:v>
      </x:c>
      <x:c r="W10" s="18" t="n">
        <x:v>0.9106789486144836</x:v>
      </x:c>
      <x:c r="X10" s="18" t="n">
        <x:v>0.13919342686998754</x:v>
      </x:c>
      <x:c r="Y10" s="18" t="n">
        <x:v>0.011500936016123715</x:v>
      </x:c>
      <x:c r="Z10" s="18" t="n">
        <x:v>0.5651301749893298</x:v>
      </x:c>
      <x:c r="AA10" s="18" t="n">
        <x:v>0.6973222987106832</x:v>
      </x:c>
      <x:c r="AB10" s="18" t="n">
        <x:v>0.7350912826614593</x:v>
      </x:c>
      <x:c r="AC10" s="18" t="n">
        <x:v>0.6563527729276766</x:v>
      </x:c>
      <x:c r="AD10" s="18" t="n">
        <x:v>0.6903165616337826</x:v>
      </x:c>
      <x:c r="AE10" s="18" t="n">
        <x:v>-0.047927352323828325</x:v>
      </x:c>
      <x:c r="AF10" s="18" t="n">
        <x:v>-0.03866023825717413</x:v>
      </x:c>
      <x:c r="AG10" s="18" t="n">
        <x:v>0.6006028704921336</x:v>
      </x:c>
      <x:c r="AH10" s="18" t="n">
        <x:v>0.6435064716187311</x:v>
      </x:c>
      <x:c r="AI10" s="18" t="n">
        <x:v>0.8640221470906354</x:v>
      </x:c>
      <x:c r="AJ10" s="18" t="n">
        <x:v>0.9365230319431441</x:v>
      </x:c>
      <x:c r="AK10" s="18" t="n">
        <x:v>0.2359680453114488</x:v>
      </x:c>
      <x:c r="AL10" s="18" t="n">
        <x:v>0.2668955731395706</x:v>
      </x:c>
      <x:c r="AM10" s="18" t="n">
        <x:v>0.45088992226129376</x:v>
      </x:c>
      <x:c r="AN10" s="18" t="n">
        <x:v>0.4809931039517719</x:v>
      </x:c>
      <x:c r="AO10" s="18" t="n">
        <x:v>0.7500014028551494</x:v>
      </x:c>
      <x:c r="AP10" s="18" t="n">
        <x:v>0.830774300307051</x:v>
      </x:c>
      <x:c r="AQ10" s="18" t="n">
        <x:v>0.865875484819952</x:v>
      </x:c>
      <x:c r="AR10" s="18" t="n">
        <x:v>0.9486223012881402</x:v>
      </x:c>
      <x:c r="AS10" s="18" t="n">
        <x:v>0.1323021017058718</x:v>
      </x:c>
      <x:c r="AT10" s="18" t="n">
        <x:v>0.145622262465054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8" t="n">
        <x:v>120110.5</x:v>
      </x:c>
      <x:c r="E11" s="18" t="n">
        <x:v>114611.22916666667</x:v>
      </x:c>
      <x:c r="F11" s="18" t="n">
        <x:v>97292.96805555554</x:v>
      </x:c>
      <x:c r="G11" s="18" t="n">
        <x:v>91793.69722222222</x:v>
      </x:c>
      <x:c r="H11" s="18" t="n">
        <x:v>0.8100288322466024</x:v>
      </x:c>
      <x:c r="I11" s="18" t="n">
        <x:v>0.7642437357451866</x:v>
      </x:c>
      <x:c r="J11" s="18" t="n">
        <x:v>-0.04578509650141589</x:v>
      </x:c>
      <x:c r="K11" s="18" t="n">
        <x:v>37329.680555555555</x:v>
      </x:c>
      <x:c r="L11" s="18" t="n">
        <x:v>59963.2875</x:v>
      </x:c>
      <x:c r="M11" s="18" t="n">
        <x:v>82780.81944444444</x:v>
      </x:c>
      <x:c r="N11" s="18" t="n">
        <x:v>0.7243620913929505</x:v>
      </x:c>
      <x:c r="O11" s="18" t="n">
        <x:v>1.108876402024825</x:v>
      </x:c>
      <x:c r="P11" s="18" t="n">
        <x:v>0.31079448137802734</x:v>
      </x:c>
      <x:c r="Q11" s="18" t="n">
        <x:v>0.49923435086857515</x:v>
      </x:c>
      <x:c r="R11" s="18" t="n">
        <x:v>8873.875</x:v>
      </x:c>
      <x:c r="S11" s="18" t="n">
        <x:v>10553.102777777778</x:v>
      </x:c>
      <x:c r="T11" s="18" t="n">
        <x:v>1938.9444444444443</x:v>
      </x:c>
      <x:c r="U11" s="18" t="n">
        <x:v>0.9189871276587482</x:v>
      </x:c>
      <x:c r="V11" s="18" t="n">
        <x:v>0.9189871276587482</x:v>
      </x:c>
      <x:c r="W11" s="18" t="n">
        <x:v>1.0928895899071778</x:v>
      </x:c>
      <x:c r="X11" s="18" t="n">
        <x:v>0.20079897290528514</x:v>
      </x:c>
      <x:c r="Y11" s="18" t="n">
        <x:v>0.023109785562375373</x:v>
      </x:c>
      <x:c r="Z11" s="18" t="n">
        <x:v>0.37370465215535636</x:v>
      </x:c>
      <x:c r="AA11" s="18" t="n">
        <x:v>0.7919755019561424</x:v>
      </x:c>
      <x:c r="AB11" s="18" t="n">
        <x:v>0.8275103927819595</x:v>
      </x:c>
      <x:c r="AC11" s="18" t="n">
        <x:v>0.747575376827715</x:v>
      </x:c>
      <x:c r="AD11" s="18" t="n">
        <x:v>0.7808099529610638</x:v>
      </x:c>
      <x:c r="AE11" s="18" t="n">
        <x:v>-0.05107221960423752</x:v>
      </x:c>
      <x:c r="AF11" s="18" t="n">
        <x:v>-0.04102045809179689</x:v>
      </x:c>
      <x:c r="AG11" s="18" t="n">
        <x:v>0.7014324635783564</x:v>
      </x:c>
      <x:c r="AH11" s="18" t="n">
        <x:v>0.7473074924526607</x:v>
      </x:c>
      <x:c r="AI11" s="18" t="n">
        <x:v>1.064168421287539</x:v>
      </x:c>
      <x:c r="AJ11" s="18" t="n">
        <x:v>1.1541614206797357</x:v>
      </x:c>
      <x:c r="AK11" s="18" t="n">
        <x:v>0.2923956820363597</x:v>
      </x:c>
      <x:c r="AL11" s="18" t="n">
        <x:v>0.3274569715352311</x:v>
      </x:c>
      <x:c r="AM11" s="18" t="n">
        <x:v>0.48423921249415697</x:v>
      </x:c>
      <x:c r="AN11" s="18" t="n">
        <x:v>0.5144908241219601</x:v>
      </x:c>
      <x:c r="AO11" s="18" t="n">
        <x:v>0.8704727243128831</x:v>
      </x:c>
      <x:c r="AP11" s="18" t="n">
        <x:v>0.9714629265833461</x:v>
      </x:c>
      <x:c r="AQ11" s="18" t="n">
        <x:v>1.0421880838972355</x:v>
      </x:c>
      <x:c r="AR11" s="18" t="n">
        <x:v>1.1465855502766003</x:v>
      </x:c>
      <x:c r="AS11" s="18" t="n">
        <x:v>0.19116340866388157</x:v>
      </x:c>
      <x:c r="AT11" s="18" t="n">
        <x:v>0.21045714081800784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8" t="n">
        <x:v>262221.8333333333</x:v>
      </x:c>
      <x:c r="E12" s="18" t="n">
        <x:v>257644.55555555556</x:v>
      </x:c>
      <x:c r="F12" s="18" t="n">
        <x:v>79485.68055555556</x:v>
      </x:c>
      <x:c r="G12" s="18" t="n">
        <x:v>74908.40277777778</x:v>
      </x:c>
      <x:c r="H12" s="18" t="n">
        <x:v>0.30312380759886726</x:v>
      </x:c>
      <x:c r="I12" s="18" t="n">
        <x:v>0.28566806137212497</x:v>
      </x:c>
      <x:c r="J12" s="18" t="n">
        <x:v>-0.0174557462267423</x:v>
      </x:c>
      <x:c r="K12" s="18" t="n">
        <x:v>17230.333333333332</x:v>
      </x:c>
      <x:c r="L12" s="18" t="n">
        <x:v>62255.34722222222</x:v>
      </x:c>
      <x:c r="M12" s="18" t="n">
        <x:v>244991.5</x:v>
      </x:c>
      <x:c r="N12" s="18" t="n">
        <x:v>0.2541122741900116</x:v>
      </x:c>
      <x:c r="O12" s="18" t="n">
        <x:v>0.3057591907383635</x:v>
      </x:c>
      <x:c r="P12" s="18" t="n">
        <x:v>0.06570899575486659</x:v>
      </x:c>
      <x:c r="Q12" s="18" t="n">
        <x:v>0.23741481184400062</x:v>
      </x:c>
      <x:c r="R12" s="18" t="n">
        <x:v>6884.527777777777</x:v>
      </x:c>
      <x:c r="S12" s="18" t="n">
        <x:v>7344.25</x:v>
      </x:c>
      <x:c r="T12" s="18" t="n">
        <x:v>592.3611111111111</x:v>
      </x:c>
      <x:c r="U12" s="18" t="n">
        <x:v>0.7129683940541043</x:v>
      </x:c>
      <x:c r="V12" s="18" t="n">
        <x:v>0.7129683940541043</x:v>
      </x:c>
      <x:c r="W12" s="18" t="n">
        <x:v>0.7605776746131494</x:v>
      </x:c>
      <x:c r="X12" s="18" t="n">
        <x:v>0.06134549292577871</x:v>
      </x:c>
      <x:c r="Y12" s="18" t="n">
        <x:v>0.002082013447774392</x:v>
      </x:c>
      <x:c r="Z12" s="18" t="n">
        <x:v>1</x:v>
      </x:c>
      <x:c r="AA12" s="18" t="n">
        <x:v>0.2936000766997126</x:v>
      </x:c>
      <x:c r="AB12" s="18" t="n">
        <x:v>0.31315685512986186</x:v>
      </x:c>
      <x:c r="AC12" s="18" t="n">
        <x:v>0.2767595390629442</x:v>
      </x:c>
      <x:c r="AD12" s="18" t="n">
        <x:v>0.29494295587485264</x:v>
      </x:c>
      <x:c r="AE12" s="18" t="n">
        <x:v>-0.019027712514179097</x:v>
      </x:c>
      <x:c r="AF12" s="18" t="n">
        <x:v>-0.015992946550104293</x:v>
      </x:c>
      <x:c r="AG12" s="18" t="n">
        <x:v>0.24596624198587266</x:v>
      </x:c>
      <x:c r="AH12" s="18" t="n">
        <x:v>0.2626697011720565</x:v>
      </x:c>
      <x:c r="AI12" s="18" t="n">
        <x:v>0.2953381147779436</x:v>
      </x:c>
      <x:c r="AJ12" s="18" t="n">
        <x:v>0.31652066932428946</x:v>
      </x:c>
      <x:c r="AK12" s="18" t="n">
        <x:v>0.06199957134532734</x:v>
      </x:c>
      <x:c r="AL12" s="18" t="n">
        <x:v>0.06997374818779145</x:v>
      </x:c>
      <x:c r="AM12" s="18" t="n">
        <x:v>0.23020624077672153</x:v>
      </x:c>
      <x:c r="AN12" s="18" t="n">
        <x:v>0.2448484987158218</x:v>
      </x:c>
      <x:c r="AO12" s="18" t="n">
        <x:v>0.6854098444743217</x:v>
      </x:c>
      <x:c r="AP12" s="18" t="n">
        <x:v>0.73977125267547</x:v>
      </x:c>
      <x:c r="AQ12" s="18" t="n">
        <x:v>0.7328207365539844</x:v>
      </x:c>
      <x:c r="AR12" s="18" t="n">
        <x:v>0.7877237185425093</x:v>
      </x:c>
      <x:c r="AS12" s="18" t="n">
        <x:v>0.05947471343360165</x:v>
      </x:c>
      <x:c r="AT12" s="18" t="n">
        <x:v>0.06344700234884292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8" t="n">
        <x:v>262221.8333333333</x:v>
      </x:c>
      <x:c r="E13" s="18" t="n">
        <x:v>256349.77777777775</x:v>
      </x:c>
      <x:c r="F13" s="18" t="n">
        <x:v>122980.5611111111</x:v>
      </x:c>
      <x:c r="G13" s="18" t="n">
        <x:v>117108.50555555554</x:v>
      </x:c>
      <x:c r="H13" s="18" t="n">
        <x:v>0.4689943607967215</x:v>
      </x:c>
      <x:c r="I13" s="18" t="n">
        <x:v>0.4466008953826838</x:v>
      </x:c>
      <x:c r="J13" s="18" t="n">
        <x:v>-0.022393465414037715</x:v>
      </x:c>
      <x:c r="K13" s="18" t="n">
        <x:v>28600.705555555556</x:v>
      </x:c>
      <x:c r="L13" s="18" t="n">
        <x:v>94379.85555555555</x:v>
      </x:c>
      <x:c r="M13" s="18" t="n">
        <x:v>233621.1277777778</x:v>
      </x:c>
      <x:c r="N13" s="18" t="n">
        <x:v>0.40398681597552427</x:v>
      </x:c>
      <x:c r="O13" s="18" t="n">
        <x:v>0.5012753198715403</x:v>
      </x:c>
      <x:c r="P13" s="18" t="n">
        <x:v>0.1090706490454541</x:v>
      </x:c>
      <x:c r="Q13" s="18" t="n">
        <x:v>0.3599237117512674</x:v>
      </x:c>
      <x:c r="R13" s="18" t="n">
        <x:v>11777.22222222222</x:v>
      </x:c>
      <x:c r="S13" s="18" t="n">
        <x:v>12691.455555555554</x:v>
      </x:c>
      <x:c r="T13" s="18" t="n">
        <x:v>1113.711111111111</x:v>
      </x:c>
      <x:c r="U13" s="18" t="n">
        <x:v>1.2196605904183662</x:v>
      </x:c>
      <x:c r="V13" s="18" t="n">
        <x:v>1.2196605904183662</x:v>
      </x:c>
      <x:c r="W13" s="18" t="n">
        <x:v>1.3143394838003308</x:v>
      </x:c>
      <x:c r="X13" s="18" t="n">
        <x:v>0.11533700610405632</x:v>
      </x:c>
      <x:c r="Y13" s="18" t="n">
        <x:v>0.005628978512184807</x:v>
      </x:c>
      <x:c r="Z13" s="18" t="n">
        <x:v>0.8490765937375278</x:v>
      </x:c>
      <x:c r="AA13" s="18" t="n">
        <x:v>0.4544730029985244</x:v>
      </x:c>
      <x:c r="AB13" s="18" t="n">
        <x:v>0.48258626541726474</x:v>
      </x:c>
      <x:c r="AC13" s="18" t="n">
        <x:v>0.43324264739874313</x:v>
      </x:c>
      <x:c r="AD13" s="18" t="n">
        <x:v>0.4595079889310925</x:v>
      </x:c>
      <x:c r="AE13" s="18" t="n">
        <x:v>-0.024583999578373053</x:v>
      </x:c>
      <x:c r="AF13" s="18" t="n">
        <x:v>-0.02042160654153852</x:v>
      </x:c>
      <x:c r="AG13" s="18" t="n">
        <x:v>0.39109362552041627</x:v>
      </x:c>
      <x:c r="AH13" s="18" t="n">
        <x:v>0.41715570159404347</x:v>
      </x:c>
      <x:c r="AI13" s="18" t="n">
        <x:v>0.483497481671849</x:v>
      </x:c>
      <x:c r="AJ13" s="18" t="n">
        <x:v>0.5184075720710479</x:v>
      </x:c>
      <x:c r="AK13" s="18" t="n">
        <x:v>0.10199757044068683</x:v>
      </x:c>
      <x:c r="AL13" s="18" t="n">
        <x:v>0.11616888936587613</x:v>
      </x:c>
      <x:c r="AM13" s="18" t="n">
        <x:v>0.34887482803508196</x:v>
      </x:c>
      <x:c r="AN13" s="18" t="n">
        <x:v>0.37012521829086686</x:v>
      </x:c>
      <x:c r="AO13" s="18" t="n">
        <x:v>1.1736645455284709</x:v>
      </x:c>
      <x:c r="AP13" s="18" t="n">
        <x:v>1.2652288021576208</x:v>
      </x:c>
      <x:c r="AQ13" s="18" t="n">
        <x:v>1.2665019778862252</x:v>
      </x:c>
      <x:c r="AR13" s="18" t="n">
        <x:v>1.3604599222563913</x:v>
      </x:c>
      <x:c r="AS13" s="18" t="n">
        <x:v>0.11090544544249176</x:v>
      </x:c>
      <x:c r="AT13" s="18" t="n">
        <x:v>0.11964137844669506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8" t="n">
        <x:v>262221.8333333333</x:v>
      </x:c>
      <x:c r="E14" s="18" t="n">
        <x:v>256084.35185185185</x:v>
      </x:c>
      <x:c r="F14" s="18" t="n">
        <x:v>131955.54166666666</x:v>
      </x:c>
      <x:c r="G14" s="18" t="n">
        <x:v>125818.06018518517</x:v>
      </x:c>
      <x:c r="H14" s="18" t="n">
        <x:v>0.5032210323193276</x:v>
      </x:c>
      <x:c r="I14" s="18" t="n">
        <x:v>0.4798153478899933</x:v>
      </x:c>
      <x:c r="J14" s="18" t="n">
        <x:v>-0.023405684429334283</x:v>
      </x:c>
      <x:c r="K14" s="18" t="n">
        <x:v>30928.72685185185</x:v>
      </x:c>
      <x:c r="L14" s="18" t="n">
        <x:v>101026.8148148148</x:v>
      </x:c>
      <x:c r="M14" s="18" t="n">
        <x:v>231293.10648148146</x:v>
      </x:c>
      <x:c r="N14" s="18" t="n">
        <x:v>0.43679129201761807</x:v>
      </x:c>
      <x:c r="O14" s="18" t="n">
        <x:v>0.543976697356775</x:v>
      </x:c>
      <x:c r="P14" s="18" t="n">
        <x:v>0.1179487095284534</x:v>
      </x:c>
      <x:c r="Q14" s="18" t="n">
        <x:v>0.3852723227908742</x:v>
      </x:c>
      <x:c r="R14" s="18" t="n">
        <x:v>12948.453703703703</x:v>
      </x:c>
      <x:c r="S14" s="18" t="n">
        <x:v>13970.75925925926</x:v>
      </x:c>
      <x:c r="T14" s="18" t="n">
        <x:v>1243.8703703703702</x:v>
      </x:c>
      <x:c r="U14" s="18" t="n">
        <x:v>1.340954462034787</x:v>
      </x:c>
      <x:c r="V14" s="18" t="n">
        <x:v>1.340954462034787</x:v>
      </x:c>
      <x:c r="W14" s="18" t="n">
        <x:v>1.4468254198846082</x:v>
      </x:c>
      <x:c r="X14" s="18" t="n">
        <x:v>0.12881642561411896</x:v>
      </x:c>
      <x:c r="Y14" s="18" t="n">
        <x:v>0.006819282582848449</x:v>
      </x:c>
      <x:c r="Z14" s="18" t="n">
        <x:v>0.802450322315349</x:v>
      </x:c>
      <x:c r="AA14" s="18" t="n">
        <x:v>0.4882411564028137</x:v>
      </x:c>
      <x:c r="AB14" s="18" t="n">
        <x:v>0.5169650799336916</x:v>
      </x:c>
      <x:c r="AC14" s="18" t="n">
        <x:v>0.4663756711824853</x:v>
      </x:c>
      <x:c r="AD14" s="18" t="n">
        <x:v>0.49265717145496274</x:v>
      </x:c>
      <x:c r="AE14" s="18" t="n">
        <x:v>-0.025713656261397592</x:v>
      </x:c>
      <x:c r="AF14" s="18" t="n">
        <x:v>-0.02128384949546724</x:v>
      </x:c>
      <x:c r="AG14" s="18" t="n">
        <x:v>0.4226542793482573</x:v>
      </x:c>
      <x:c r="AH14" s="18" t="n">
        <x:v>0.4502594731273641</x:v>
      </x:c>
      <x:c r="AI14" s="18" t="n">
        <x:v>0.525361596586835</x:v>
      </x:c>
      <x:c r="AJ14" s="18" t="n">
        <x:v>0.5616843934172977</x:v>
      </x:c>
      <x:c r="AK14" s="18" t="n">
        <x:v>0.11080601999742301</x:v>
      </x:c>
      <x:c r="AL14" s="18" t="n">
        <x:v>0.12546152066170063</x:v>
      </x:c>
      <x:c r="AM14" s="18" t="n">
        <x:v>0.3741196482502023</x:v>
      </x:c>
      <x:c r="AN14" s="18" t="n">
        <x:v>0.395605707832859</x:v>
      </x:c>
      <x:c r="AO14" s="18" t="n">
        <x:v>1.2903115642651874</x:v>
      </x:c>
      <x:c r="AP14" s="18" t="n">
        <x:v>1.3916059754548966</x:v>
      </x:c>
      <x:c r="AQ14" s="18" t="n">
        <x:v>1.3941584443618569</x:v>
      </x:c>
      <x:c r="AR14" s="18" t="n">
        <x:v>1.49843561821836</x:v>
      </x:c>
      <x:c r="AS14" s="18" t="n">
        <x:v>0.12383992156205594</x:v>
      </x:c>
      <x:c r="AT14" s="18" t="n">
        <x:v>0.13447946238113712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8" t="n">
        <x:v>262221.8333333333</x:v>
      </x:c>
      <x:c r="E15" s="18" t="n">
        <x:v>255815.09166666667</x:v>
      </x:c>
      <x:c r="F15" s="18" t="n">
        <x:v>156657.8111111111</x:v>
      </x:c>
      <x:c r="G15" s="18" t="n">
        <x:v>150251.06944444444</x:v>
      </x:c>
      <x:c r="H15" s="18" t="n">
        <x:v>0.5974247419434733</x:v>
      </x:c>
      <x:c r="I15" s="18" t="n">
        <x:v>0.5729922163020157</x:v>
      </x:c>
      <x:c r="J15" s="18" t="n">
        <x:v>-0.02443252564145753</x:v>
      </x:c>
      <x:c r="K15" s="18" t="n">
        <x:v>37947.330555555556</x:v>
      </x:c>
      <x:c r="L15" s="18" t="n">
        <x:v>118710.48055555555</x:v>
      </x:c>
      <x:c r="M15" s="18" t="n">
        <x:v>224274.50277777776</x:v>
      </x:c>
      <x:c r="N15" s="18" t="n">
        <x:v>0.529308856268783</x:v>
      </x:c>
      <x:c r="O15" s="18" t="n">
        <x:v>0.6699427156609087</x:v>
      </x:c>
      <x:c r="P15" s="18" t="n">
        <x:v>0.14471461080556688</x:v>
      </x:c>
      <x:c r="Q15" s="18" t="n">
        <x:v>0.45271013113790637</x:v>
      </x:c>
      <x:c r="R15" s="18" t="n">
        <x:v>16337.566666666666</x:v>
      </x:c>
      <x:c r="S15" s="18" t="n">
        <x:v>17769.627777777776</x:v>
      </x:c>
      <x:c r="T15" s="18" t="n">
        <x:v>1701.5388888888888</x:v>
      </x:c>
      <x:c r="U15" s="18" t="n">
        <x:v>1.6919342974668123</x:v>
      </x:c>
      <x:c r="V15" s="18" t="n">
        <x:v>1.6919342974668123</x:v>
      </x:c>
      <x:c r="W15" s="18" t="n">
        <x:v>1.8402399392672426</x:v>
      </x:c>
      <x:c r="X15" s="18" t="n">
        <x:v>0.17621302261973015</x:v>
      </x:c>
      <x:c r="Y15" s="18" t="n">
        <x:v>0.011500936016123715</x:v>
      </x:c>
      <x:c r="Z15" s="18" t="n">
        <x:v>0.657762780740902</x:v>
      </x:c>
      <x:c r="AA15" s="18" t="n">
        <x:v>0.5814571937502134</x:v>
      </x:c>
      <x:c r="AB15" s="18" t="n">
        <x:v>0.6126324766090073</x:v>
      </x:c>
      <x:c r="AC15" s="18" t="n">
        <x:v>0.5578223060919201</x:v>
      </x:c>
      <x:c r="AD15" s="18" t="n">
        <x:v>0.586776748290535</x:v>
      </x:c>
      <x:c r="AE15" s="18" t="n">
        <x:v>-0.027166430841651636</x:v>
      </x:c>
      <x:c r="AF15" s="18" t="n">
        <x:v>-0.021810710531806058</x:v>
      </x:c>
      <x:c r="AG15" s="18" t="n">
        <x:v>0.5134572843322524</x:v>
      </x:c>
      <x:c r="AH15" s="18" t="n">
        <x:v>0.5435331335378321</x:v>
      </x:c>
      <x:c r="AI15" s="18" t="n">
        <x:v>0.647912226787285</x:v>
      </x:c>
      <x:c r="AJ15" s="18" t="n">
        <x:v>0.6911781474812013</x:v>
      </x:c>
      <x:c r="AK15" s="18" t="n">
        <x:v>0.13593424330677992</x:v>
      </x:c>
      <x:c r="AL15" s="18" t="n">
        <x:v>0.15383658222633098</x:v>
      </x:c>
      <x:c r="AM15" s="18" t="n">
        <x:v>0.44115531334811037</x:v>
      </x:c>
      <x:c r="AN15" s="18" t="n">
        <x:v>0.462957465776602</x:v>
      </x:c>
      <x:c r="AO15" s="18" t="n">
        <x:v>1.6287432359169203</x:v>
      </x:c>
      <x:c r="AP15" s="18" t="n">
        <x:v>1.756369495230963</x:v>
      </x:c>
      <x:c r="AQ15" s="18" t="n">
        <x:v>1.7744846191514387</x:v>
      </x:c>
      <x:c r="AR15" s="18" t="n">
        <x:v>1.9068707805096576</x:v>
      </x:c>
      <x:c r="AS15" s="18" t="n">
        <x:v>0.16918818183120582</x:v>
      </x:c>
      <x:c r="AT15" s="18" t="n">
        <x:v>0.18345732112985844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8" t="n">
        <x:v>262221.8333333333</x:v>
      </x:c>
      <x:c r="E16" s="18" t="n">
        <x:v>255032.5861111111</x:v>
      </x:c>
      <x:c r="F16" s="18" t="n">
        <x:v>185640.6222222222</x:v>
      </x:c>
      <x:c r="G16" s="18" t="n">
        <x:v>178451.375</x:v>
      </x:c>
      <x:c r="H16" s="18" t="n">
        <x:v>0.7079525753533956</x:v>
      </x:c>
      <x:c r="I16" s="18" t="n">
        <x:v>0.6805359139303809</x:v>
      </x:c>
      <x:c r="J16" s="18" t="n">
        <x:v>-0.02741666142301479</x:v>
      </x:c>
      <x:c r="K16" s="18" t="n">
        <x:v>49342.448611111104</x:v>
      </x:c>
      <x:c r="L16" s="18" t="n">
        <x:v>136298.17361111112</x:v>
      </x:c>
      <x:c r="M16" s="18" t="n">
        <x:v>212879.38472222222</x:v>
      </x:c>
      <x:c r="N16" s="18" t="n">
        <x:v>0.640260088072695</x:v>
      </x:c>
      <x:c r="O16" s="18" t="n">
        <x:v>0.838274571456762</x:v>
      </x:c>
      <x:c r="P16" s="18" t="n">
        <x:v>0.18817063393949948</x:v>
      </x:c>
      <x:c r="Q16" s="18" t="n">
        <x:v>0.5197819414138962</x:v>
      </x:c>
      <x:c r="R16" s="18" t="n">
        <x:v>20380.81388888889</x:v>
      </x:c>
      <x:c r="S16" s="18" t="n">
        <x:v>22724.377777777776</x:v>
      </x:c>
      <x:c r="T16" s="18" t="n">
        <x:v>2748.041666666667</x:v>
      </x:c>
      <x:c r="U16" s="18" t="n">
        <x:v>2.110656913140823</x:v>
      </x:c>
      <x:c r="V16" s="18" t="n">
        <x:v>2.110656913140823</x:v>
      </x:c>
      <x:c r="W16" s="18" t="n">
        <x:v>2.3533586693335535</x:v>
      </x:c>
      <x:c r="X16" s="18" t="n">
        <x:v>0.28458986834235994</x:v>
      </x:c>
      <x:c r="Y16" s="18" t="n">
        <x:v>0.023109785562375373</x:v>
      </x:c>
      <x:c r="Z16" s="18" t="n">
        <x:v>0.4728130329088205</x:v>
      </x:c>
      <x:c r="AA16" s="18" t="n">
        <x:v>0.6920016405090013</x:v>
      </x:c>
      <x:c r="AB16" s="18" t="n">
        <x:v>0.7225371806382715</x:v>
      </x:c>
      <x:c r="AC16" s="18" t="n">
        <x:v>0.6657157621371649</x:v>
      </x:c>
      <x:c r="AD16" s="18" t="n">
        <x:v>0.6943394779252858</x:v>
      </x:c>
      <x:c r="AE16" s="18" t="n">
        <x:v>-0.03059835366445524</x:v>
      </x:c>
      <x:c r="AF16" s="18" t="n">
        <x:v>-0.024304376139757947</x:v>
      </x:c>
      <x:c r="AG16" s="18" t="n">
        <x:v>0.6241134046602299</x:v>
      </x:c>
      <x:c r="AH16" s="18" t="n">
        <x:v>0.6560386253669672</x:v>
      </x:c>
      <x:c r="AI16" s="18" t="n">
        <x:v>0.8106193455347293</x:v>
      </x:c>
      <x:c r="AJ16" s="18" t="n">
        <x:v>0.8640712255657861</x:v>
      </x:c>
      <x:c r="AK16" s="18" t="n">
        <x:v>0.17723512679750286</x:v>
      </x:c>
      <x:c r="AL16" s="18" t="n">
        <x:v>0.1994284439687211</x:v>
      </x:c>
      <x:c r="AM16" s="18" t="n">
        <x:v>0.5082846890090628</x:v>
      </x:c>
      <x:c r="AN16" s="18" t="n">
        <x:v>0.531739785327292</x:v>
      </x:c>
      <x:c r="AO16" s="18" t="n">
        <x:v>2.0282664578545915</x:v>
      </x:c>
      <x:c r="AP16" s="18" t="n">
        <x:v>2.1987991955099413</x:v>
      </x:c>
      <x:c r="AQ16" s="18" t="n">
        <x:v>2.2649599077649065</x:v>
      </x:c>
      <x:c r="AR16" s="18" t="n">
        <x:v>2.4392757542118293</x:v>
      </x:c>
      <x:c r="AS16" s="18" t="n">
        <x:v>0.2721937204426664</x:v>
      </x:c>
      <x:c r="AT16" s="18" t="n">
        <x:v>0.2967975502681444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25" hidden="0" customWidth="1"/>
    <x:col min="5" max="5" width="19" hidden="0" customWidth="1"/>
    <x:col min="6" max="6" width="20" hidden="0" customWidth="1"/>
    <x:col min="7" max="7" width="34" hidden="0" customWidth="1"/>
    <x:col min="8" max="8" width="34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cases_with_true_auc_gt0</x:v>
      </x:c>
      <x:c r="E1" s="14" t="str">
        <x:v>true_auc_total</x:v>
      </x:c>
      <x:c r="F1" s="14" t="str">
        <x:v>median_true_auc</x:v>
      </x:c>
      <x:c r="G1" s="14" t="str">
        <x:v>normotensive_display_discordance_total</x:v>
      </x:c>
      <x:c r="H1" s="14" t="str">
        <x:v>hypotensive_display_discordance_total</x:v>
      </x:c>
    </x:row>
    <x:row r="2">
      <x:c r="A2" s="16" t="n">
        <x:v>55</x:v>
      </x:c>
      <x:c r="B2" s="18" t="n">
        <x:v>1</x:v>
      </x:c>
      <x:c r="C2" s="16" t="n">
        <x:v>2435</x:v>
      </x:c>
      <x:c r="D2" s="16" t="n">
        <x:v>2254</x:v>
      </x:c>
      <x:c r="E2" s="18" t="n">
        <x:v>65826.83333333333</x:v>
      </x:c>
      <x:c r="F2" s="18" t="n">
        <x:v>15.666666666666666</x:v>
      </x:c>
      <x:c r="G2" s="18" t="n">
        <x:v>1862.4444444444443</x:v>
      </x:c>
      <x:c r="H2" s="18" t="n">
        <x:v>2221.5</x:v>
      </x:c>
    </x:row>
    <x:row r="3">
      <x:c r="A3" s="16" t="n">
        <x:v>55</x:v>
      </x:c>
      <x:c r="B3" s="18" t="n">
        <x:v>2.5</x:v>
      </x:c>
      <x:c r="C3" s="16" t="n">
        <x:v>2435</x:v>
      </x:c>
      <x:c r="D3" s="16" t="n">
        <x:v>2254</x:v>
      </x:c>
      <x:c r="E3" s="18" t="n">
        <x:v>65826.83333333333</x:v>
      </x:c>
      <x:c r="F3" s="18" t="n">
        <x:v>15.666666666666666</x:v>
      </x:c>
      <x:c r="G3" s="18" t="n">
        <x:v>2709.8444444444444</x:v>
      </x:c>
      <x:c r="H3" s="18" t="n">
        <x:v>3364.4666666666667</x:v>
      </x:c>
    </x:row>
    <x:row r="4">
      <x:c r="A4" s="16" t="n">
        <x:v>55</x:v>
      </x:c>
      <x:c r="B4" s="18" t="n">
        <x:v>3</x:v>
      </x:c>
      <x:c r="C4" s="16" t="n">
        <x:v>2435</x:v>
      </x:c>
      <x:c r="D4" s="16" t="n">
        <x:v>2254</x:v>
      </x:c>
      <x:c r="E4" s="18" t="n">
        <x:v>65826.83333333333</x:v>
      </x:c>
      <x:c r="F4" s="18" t="n">
        <x:v>15.666666666666666</x:v>
      </x:c>
      <x:c r="G4" s="18" t="n">
        <x:v>2862.6759259259256</x:v>
      </x:c>
      <x:c r="H4" s="18" t="n">
        <x:v>3580.2129629629626</x:v>
      </x:c>
    </x:row>
    <x:row r="5">
      <x:c r="A5" s="16" t="n">
        <x:v>55</x:v>
      </x:c>
      <x:c r="B5" s="18" t="n">
        <x:v>5</x:v>
      </x:c>
      <x:c r="C5" s="16" t="n">
        <x:v>2435</x:v>
      </x:c>
      <x:c r="D5" s="16" t="n">
        <x:v>2254</x:v>
      </x:c>
      <x:c r="E5" s="18" t="n">
        <x:v>65826.83333333333</x:v>
      </x:c>
      <x:c r="F5" s="18" t="n">
        <x:v>15.666666666666666</x:v>
      </x:c>
      <x:c r="G5" s="18" t="n">
        <x:v>3224.8166666666666</x:v>
      </x:c>
      <x:c r="H5" s="18" t="n">
        <x:v>4146.277777777777</x:v>
      </x:c>
    </x:row>
    <x:row r="6">
      <x:c r="A6" s="16" t="n">
        <x:v>55</x:v>
      </x:c>
      <x:c r="B6" s="18" t="n">
        <x:v>10</x:v>
      </x:c>
      <x:c r="C6" s="16" t="n">
        <x:v>2435</x:v>
      </x:c>
      <x:c r="D6" s="16" t="n">
        <x:v>2254</x:v>
      </x:c>
      <x:c r="E6" s="18" t="n">
        <x:v>65826.83333333333</x:v>
      </x:c>
      <x:c r="F6" s="18" t="n">
        <x:v>15.666666666666666</x:v>
      </x:c>
      <x:c r="G6" s="18" t="n">
        <x:v>3497.108333333333</x:v>
      </x:c>
      <x:c r="H6" s="18" t="n">
        <x:v>4734.655555555555</x:v>
      </x:c>
    </x:row>
    <x:row r="7">
      <x:c r="A7" s="16" t="n">
        <x:v>60</x:v>
      </x:c>
      <x:c r="B7" s="18" t="n">
        <x:v>1</x:v>
      </x:c>
      <x:c r="C7" s="16" t="n">
        <x:v>2435</x:v>
      </x:c>
      <x:c r="D7" s="16" t="n">
        <x:v>2348</x:v>
      </x:c>
      <x:c r="E7" s="18" t="n">
        <x:v>120110.5</x:v>
      </x:c>
      <x:c r="F7" s="18" t="n">
        <x:v>28.833333333333332</x:v>
      </x:c>
      <x:c r="G7" s="18" t="n">
        <x:v>3652.805555555555</x:v>
      </x:c>
      <x:c r="H7" s="18" t="n">
        <x:v>4055.0277777777774</x:v>
      </x:c>
    </x:row>
    <x:row r="8">
      <x:c r="A8" s="16" t="n">
        <x:v>60</x:v>
      </x:c>
      <x:c r="B8" s="18" t="n">
        <x:v>2.5</x:v>
      </x:c>
      <x:c r="C8" s="16" t="n">
        <x:v>2435</x:v>
      </x:c>
      <x:c r="D8" s="16" t="n">
        <x:v>2348</x:v>
      </x:c>
      <x:c r="E8" s="18" t="n">
        <x:v>120110.5</x:v>
      </x:c>
      <x:c r="F8" s="18" t="n">
        <x:v>28.833333333333332</x:v>
      </x:c>
      <x:c r="G8" s="18" t="n">
        <x:v>5914.955555555555</x:v>
      </x:c>
      <x:c r="H8" s="18" t="n">
        <x:v>6683.122222222221</x:v>
      </x:c>
    </x:row>
    <x:row r="9">
      <x:c r="A9" s="16" t="n">
        <x:v>60</x:v>
      </x:c>
      <x:c r="B9" s="18" t="n">
        <x:v>3</x:v>
      </x:c>
      <x:c r="C9" s="16" t="n">
        <x:v>2435</x:v>
      </x:c>
      <x:c r="D9" s="16" t="n">
        <x:v>2348</x:v>
      </x:c>
      <x:c r="E9" s="18" t="n">
        <x:v>120110.5</x:v>
      </x:c>
      <x:c r="F9" s="18" t="n">
        <x:v>28.833333333333332</x:v>
      </x:c>
      <x:c r="G9" s="18" t="n">
        <x:v>6393.185185185185</x:v>
      </x:c>
      <x:c r="H9" s="18" t="n">
        <x:v>7242.6203703703695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6" t="n">
        <x:v>2348</x:v>
      </x:c>
      <x:c r="E10" s="18" t="n">
        <x:v>120110.5</x:v>
      </x:c>
      <x:c r="F10" s="18" t="n">
        <x:v>28.833333333333332</x:v>
      </x:c>
      <x:c r="G10" s="18" t="n">
        <x:v>7655.349999999999</x:v>
      </x:c>
      <x:c r="H10" s="18" t="n">
        <x:v>8793.65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6" t="n">
        <x:v>2348</x:v>
      </x:c>
      <x:c r="E11" s="18" t="n">
        <x:v>120110.5</x:v>
      </x:c>
      <x:c r="F11" s="18" t="n">
        <x:v>28.833333333333332</x:v>
      </x:c>
      <x:c r="G11" s="18" t="n">
        <x:v>8873.875</x:v>
      </x:c>
      <x:c r="H11" s="18" t="n">
        <x:v>10553.102777777776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6" t="n">
        <x:v>2393</x:v>
      </x:c>
      <x:c r="E12" s="18" t="n">
        <x:v>262221.8333333333</x:v>
      </x:c>
      <x:c r="F12" s="18" t="n">
        <x:v>63.666666666666664</x:v>
      </x:c>
      <x:c r="G12" s="18" t="n">
        <x:v>6884.527777777777</x:v>
      </x:c>
      <x:c r="H12" s="18" t="n">
        <x:v>7344.25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6" t="n">
        <x:v>2393</x:v>
      </x:c>
      <x:c r="E13" s="18" t="n">
        <x:v>262221.8333333333</x:v>
      </x:c>
      <x:c r="F13" s="18" t="n">
        <x:v>63.666666666666664</x:v>
      </x:c>
      <x:c r="G13" s="18" t="n">
        <x:v>11777.22222222222</x:v>
      </x:c>
      <x:c r="H13" s="18" t="n">
        <x:v>12691.455555555554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6" t="n">
        <x:v>2393</x:v>
      </x:c>
      <x:c r="E14" s="18" t="n">
        <x:v>262221.8333333333</x:v>
      </x:c>
      <x:c r="F14" s="18" t="n">
        <x:v>63.666666666666664</x:v>
      </x:c>
      <x:c r="G14" s="18" t="n">
        <x:v>12948.453703703703</x:v>
      </x:c>
      <x:c r="H14" s="18" t="n">
        <x:v>13970.75925925926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6" t="n">
        <x:v>2393</x:v>
      </x:c>
      <x:c r="E15" s="18" t="n">
        <x:v>262221.8333333333</x:v>
      </x:c>
      <x:c r="F15" s="18" t="n">
        <x:v>63.666666666666664</x:v>
      </x:c>
      <x:c r="G15" s="18" t="n">
        <x:v>16337.566666666666</x:v>
      </x:c>
      <x:c r="H15" s="18" t="n">
        <x:v>17769.627777777776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6" t="n">
        <x:v>2393</x:v>
      </x:c>
      <x:c r="E16" s="18" t="n">
        <x:v>262221.8333333333</x:v>
      </x:c>
      <x:c r="F16" s="18" t="n">
        <x:v>63.666666666666664</x:v>
      </x:c>
      <x:c r="G16" s="18" t="n">
        <x:v>20380.813888888886</x:v>
      </x:c>
      <x:c r="H16" s="18" t="n">
        <x:v>22724.377777777776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34" hidden="0" customWidth="1"/>
  </x:cols>
  <x:sheetData>
    <x:row r="1" ht="32" customHeight="1">
      <x:c r="A1" s="14" t="str">
        <x:v>check</x:v>
      </x:c>
      <x:c r="B1" s="14" t="str">
        <x:v>passed</x:v>
      </x:c>
      <x:c r="C1" s="14" t="str">
        <x:v>note</x:v>
      </x:c>
    </x:row>
    <x:row r="2">
      <x:c r="A2" s="8" t="str">
        <x:v>INSPIRE role guardrail</x:v>
      </x:c>
      <x:c r="B2" s="28" t="b">
        <x:v>1</x:v>
      </x:c>
      <x:c r="C2" s="8" t="str">
        <x:v>INSPIRE outputs are limited to resource/target-population/transportability roles.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29" hidden="0" customWidth="1"/>
    <x:col min="4" max="4" width="32" hidden="0" customWidth="1"/>
    <x:col min="5" max="5" width="21" hidden="0" customWidth="1"/>
    <x:col min="6" max="6" width="34" hidden="0" customWidth="1"/>
    <x:col min="7" max="7" width="34" hidden="0" customWidth="1"/>
  </x:cols>
  <x:sheetData>
    <x:row r="1" ht="32" customHeight="1">
      <x:c r="A1" s="14" t="str">
        <x:v>strategy</x:v>
      </x:c>
      <x:c r="B1" s="14" t="str">
        <x:v>measurement_burden</x:v>
      </x:c>
      <x:c r="C1" s="14" t="str">
        <x:v>extra_measurements_per_hour</x:v>
      </x:c>
      <x:c r="D1" s="14" t="str">
        <x:v>relative_hdr_reduction_vs_5min</x:v>
      </x:c>
      <x:c r="E1" s="14" t="str">
        <x:v>target_population_n</x:v>
      </x:c>
      <x:c r="F1" s="14" t="str">
        <x:v>scenario_role</x:v>
      </x:c>
      <x:c r="G1" s="14" t="str">
        <x:v>estimated_extra_measurements_per_hour_population</x:v>
      </x:c>
    </x:row>
    <x:row r="2">
      <x:c r="A2" s="8" t="str">
        <x:v>fixed_2_5min</x:v>
      </x:c>
      <x:c r="B2" s="18" t="n">
        <x:v>24</x:v>
      </x:c>
      <x:c r="C2" s="18" t="n">
        <x:v>12</x:v>
      </x:c>
      <x:c r="D2" s="18" t="n">
        <x:v>0.2151079917823444</x:v>
      </x:c>
      <x:c r="E2" s="16" t="n">
        <x:v>89576</x:v>
      </x:c>
      <x:c r="F2" s="8" t="str">
        <x:v>INSPIRE target-population resource scenario</x:v>
      </x:c>
      <x:c r="G2" s="18" t="n">
        <x:v>1074912</x:v>
      </x:c>
    </x:row>
    <x:row r="3">
      <x:c r="A3" s="8" t="str">
        <x:v>fixed_3min</x:v>
      </x:c>
      <x:c r="B3" s="18" t="n">
        <x:v>20</x:v>
      </x:c>
      <x:c r="C3" s="18" t="n">
        <x:v>8</x:v>
      </x:c>
      <x:c r="D3" s="18" t="n">
        <x:v>0.1583610259339668</x:v>
      </x:c>
      <x:c r="E3" s="16" t="n">
        <x:v>89576</x:v>
      </x:c>
      <x:c r="F3" s="8" t="str">
        <x:v>INSPIRE target-population resource scenario</x:v>
      </x:c>
      <x:c r="G3" s="18" t="n">
        <x:v>716608</x:v>
      </x:c>
    </x:row>
    <x:row r="4">
      <x:c r="A4" s="8" t="str">
        <x:v>fixed_5min_reference</x:v>
      </x:c>
      <x:c r="B4" s="18" t="n">
        <x:v>12</x:v>
      </x:c>
      <x:c r="C4" s="18" t="n">
        <x:v>0</x:v>
      </x:c>
      <x:c r="D4" s="18" t="n">
        <x:v>0</x:v>
      </x:c>
      <x:c r="E4" s="16" t="n">
        <x:v>89576</x:v>
      </x:c>
      <x:c r="F4" s="8" t="str">
        <x:v>INSPIRE target-population resource scenario</x:v>
      </x:c>
      <x:c r="G4" s="18" t="n">
        <x:v>0</x:v>
      </x:c>
    </x:row>
    <x:row r="5">
      <x:c r="A5" s="8" t="str">
        <x:v>induction_intensified_first20min</x:v>
      </x:c>
      <x:c r="B5" s="18" t="n">
        <x:v>16.95111477605436</x:v>
      </x:c>
      <x:c r="C5" s="18" t="n">
        <x:v>4.951114776054361</x:v>
      </x:c>
      <x:c r="D5" s="18" t="n">
        <x:v>0.1427847069451598</x:v>
      </x:c>
      <x:c r="E5" s="16" t="n">
        <x:v>89576</x:v>
      </x:c>
      <x:c r="F5" s="8" t="str">
        <x:v>INSPIRE target-population resource scenario</x:v>
      </x:c>
      <x:c r="G5" s="18" t="n">
        <x:v>443501.0571798454</x:v>
      </x:c>
    </x:row>
    <x:row r="6">
      <x:c r="A6" s="8" t="str">
        <x:v>selective_continuous_top20_oof</x:v>
      </x:c>
      <x:c r="B6" s="18" t="n">
        <x:v>12</x:v>
      </x:c>
      <x:c r="C6" s="18" t="n">
        <x:v>0</x:v>
      </x:c>
      <x:c r="D6" s="18" t="n">
        <x:v>0.3376914078859326</x:v>
      </x:c>
      <x:c r="E6" s="16" t="n">
        <x:v>89576</x:v>
      </x:c>
      <x:c r="F6" s="8" t="str">
        <x:v>INSPIRE target-population resource scenario</x:v>
      </x:c>
      <x:c r="G6" s="18" t="n">
        <x:v>0</x:v>
      </x:c>
    </x:row>
    <x:row r="7">
      <x:c r="A7" s="8" t="str">
        <x:v>threshold_triggered_adaptive</x:v>
      </x:c>
      <x:c r="B7" s="18" t="n">
        <x:v>20.81970167278465</x:v>
      </x:c>
      <x:c r="C7" s="18" t="n">
        <x:v>8.81970167278465</x:v>
      </x:c>
      <x:c r="D7" s="18" t="n">
        <x:v>0.245944524941526</x:v>
      </x:c>
      <x:c r="E7" s="16" t="n">
        <x:v>89576</x:v>
      </x:c>
      <x:c r="F7" s="8" t="str">
        <x:v>INSPIRE target-population resource scenario</x:v>
      </x:c>
      <x:c r="G7" s="18" t="n">
        <x:v>790033.5970413578</x:v>
      </x:c>
    </x:row>
    <x:row r="8">
      <x:c r="A8" s="8" t="str">
        <x:v>trend_triggered_adaptive</x:v>
      </x:c>
      <x:c r="B8" s="18" t="n">
        <x:v>27.88529822636406</x:v>
      </x:c>
      <x:c r="C8" s="18" t="n">
        <x:v>15.88529822636406</x:v>
      </x:c>
      <x:c r="D8" s="18" t="n">
        <x:v>0.3180394227102324</x:v>
      </x:c>
      <x:c r="E8" s="16" t="n">
        <x:v>89576</x:v>
      </x:c>
      <x:c r="F8" s="8" t="str">
        <x:v>INSPIRE target-population resource scenario</x:v>
      </x:c>
      <x:c r="G8" s="18" t="n">
        <x:v>1422941.473924787</x:v>
      </x:c>
    </x:row>
    <x:row r="9">
      <x:c r="A9" s="8" t="str">
        <x:v>universal_1min_proxy</x:v>
      </x:c>
      <x:c r="B9" s="18" t="n">
        <x:v>60</x:v>
      </x:c>
      <x:c r="C9" s="18" t="n">
        <x:v>48</x:v>
      </x:c>
      <x:c r="D9" s="18" t="n">
        <x:v>0.4922420603401845</x:v>
      </x:c>
      <x:c r="E9" s="16" t="n">
        <x:v>89576</x:v>
      </x:c>
      <x:c r="F9" s="8" t="str">
        <x:v>INSPIRE target-population resource scenario</x:v>
      </x:c>
      <x:c r="G9" s="18" t="n">
        <x:v>4299648</x:v>
      </x:c>
    </x:row>
    <x:row r="10">
      <x:c r="A10" s="8" t="str">
        <x:v>universal_continuous_reference</x:v>
      </x:c>
      <x:c r="B10" s="18"/>
      <x:c r="C10" s="18"/>
      <x:c r="D10" s="18" t="n">
        <x:v>1</x:v>
      </x:c>
      <x:c r="E10" s="16" t="n">
        <x:v>89576</x:v>
      </x:c>
      <x:c r="F10" s="8" t="str">
        <x:v>INSPIRE target-population resource scenario</x:v>
      </x:c>
      <x:c r="G10" s="18" t="n">
        <x:v>0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29" hidden="0" customWidth="1"/>
    <x:col min="4" max="4" width="32" hidden="0" customWidth="1"/>
    <x:col min="5" max="5" width="21" hidden="0" customWidth="1"/>
    <x:col min="6" max="6" width="34" hidden="0" customWidth="1"/>
    <x:col min="7" max="7" width="34" hidden="0" customWidth="1"/>
  </x:cols>
  <x:sheetData>
    <x:row r="1" ht="32" customHeight="1">
      <x:c r="A1" s="14" t="str">
        <x:v>strategy</x:v>
      </x:c>
      <x:c r="B1" s="14" t="str">
        <x:v>measurement_burden</x:v>
      </x:c>
      <x:c r="C1" s="14" t="str">
        <x:v>extra_measurements_per_hour</x:v>
      </x:c>
      <x:c r="D1" s="14" t="str">
        <x:v>relative_hdr_reduction_vs_5min</x:v>
      </x:c>
      <x:c r="E1" s="14" t="str">
        <x:v>target_population_n</x:v>
      </x:c>
      <x:c r="F1" s="14" t="str">
        <x:v>scenario_role</x:v>
      </x:c>
      <x:c r="G1" s="14" t="str">
        <x:v>estimated_extra_measurements_per_hour_population</x:v>
      </x:c>
    </x:row>
    <x:row r="2">
      <x:c r="A2" s="8" t="str">
        <x:v>fixed_2_5min</x:v>
      </x:c>
      <x:c r="B2" s="18" t="n">
        <x:v>24</x:v>
      </x:c>
      <x:c r="C2" s="18" t="n">
        <x:v>12</x:v>
      </x:c>
      <x:c r="D2" s="18" t="n">
        <x:v>0.2151079917823444</x:v>
      </x:c>
      <x:c r="E2" s="16" t="n">
        <x:v>89576</x:v>
      </x:c>
      <x:c r="F2" s="8" t="str">
        <x:v>INSPIRE target-population resource scenario</x:v>
      </x:c>
      <x:c r="G2" s="18" t="n">
        <x:v>1074912</x:v>
      </x:c>
    </x:row>
    <x:row r="3">
      <x:c r="A3" s="8" t="str">
        <x:v>fixed_3min</x:v>
      </x:c>
      <x:c r="B3" s="18" t="n">
        <x:v>20</x:v>
      </x:c>
      <x:c r="C3" s="18" t="n">
        <x:v>8</x:v>
      </x:c>
      <x:c r="D3" s="18" t="n">
        <x:v>0.1583610259339668</x:v>
      </x:c>
      <x:c r="E3" s="16" t="n">
        <x:v>89576</x:v>
      </x:c>
      <x:c r="F3" s="8" t="str">
        <x:v>INSPIRE target-population resource scenario</x:v>
      </x:c>
      <x:c r="G3" s="18" t="n">
        <x:v>716608</x:v>
      </x:c>
    </x:row>
    <x:row r="4">
      <x:c r="A4" s="8" t="str">
        <x:v>fixed_5min_reference</x:v>
      </x:c>
      <x:c r="B4" s="18" t="n">
        <x:v>12</x:v>
      </x:c>
      <x:c r="C4" s="18" t="n">
        <x:v>0</x:v>
      </x:c>
      <x:c r="D4" s="18" t="n">
        <x:v>0</x:v>
      </x:c>
      <x:c r="E4" s="16" t="n">
        <x:v>89576</x:v>
      </x:c>
      <x:c r="F4" s="8" t="str">
        <x:v>INSPIRE target-population resource scenario</x:v>
      </x:c>
      <x:c r="G4" s="18" t="n">
        <x:v>0</x:v>
      </x:c>
    </x:row>
    <x:row r="5">
      <x:c r="A5" s="8" t="str">
        <x:v>induction_intensified_first20min</x:v>
      </x:c>
      <x:c r="B5" s="18" t="n">
        <x:v>16.95111477605436</x:v>
      </x:c>
      <x:c r="C5" s="18" t="n">
        <x:v>4.951114776054361</x:v>
      </x:c>
      <x:c r="D5" s="18" t="n">
        <x:v>0.1427847069451598</x:v>
      </x:c>
      <x:c r="E5" s="16" t="n">
        <x:v>89576</x:v>
      </x:c>
      <x:c r="F5" s="8" t="str">
        <x:v>INSPIRE target-population resource scenario</x:v>
      </x:c>
      <x:c r="G5" s="18" t="n">
        <x:v>443501.0571798454</x:v>
      </x:c>
    </x:row>
    <x:row r="6">
      <x:c r="A6" s="8" t="str">
        <x:v>selective_continuous_top20_oof</x:v>
      </x:c>
      <x:c r="B6" s="18" t="n">
        <x:v>12</x:v>
      </x:c>
      <x:c r="C6" s="18" t="n">
        <x:v>0</x:v>
      </x:c>
      <x:c r="D6" s="18" t="n">
        <x:v>0.3376914078859326</x:v>
      </x:c>
      <x:c r="E6" s="16" t="n">
        <x:v>89576</x:v>
      </x:c>
      <x:c r="F6" s="8" t="str">
        <x:v>INSPIRE target-population resource scenario</x:v>
      </x:c>
      <x:c r="G6" s="18" t="n">
        <x:v>0</x:v>
      </x:c>
    </x:row>
    <x:row r="7">
      <x:c r="A7" s="8" t="str">
        <x:v>threshold_triggered_adaptive</x:v>
      </x:c>
      <x:c r="B7" s="18" t="n">
        <x:v>20.81970167278465</x:v>
      </x:c>
      <x:c r="C7" s="18" t="n">
        <x:v>8.81970167278465</x:v>
      </x:c>
      <x:c r="D7" s="18" t="n">
        <x:v>0.245944524941526</x:v>
      </x:c>
      <x:c r="E7" s="16" t="n">
        <x:v>89576</x:v>
      </x:c>
      <x:c r="F7" s="8" t="str">
        <x:v>INSPIRE target-population resource scenario</x:v>
      </x:c>
      <x:c r="G7" s="18" t="n">
        <x:v>790033.5970413578</x:v>
      </x:c>
    </x:row>
    <x:row r="8">
      <x:c r="A8" s="8" t="str">
        <x:v>trend_triggered_adaptive</x:v>
      </x:c>
      <x:c r="B8" s="18" t="n">
        <x:v>27.88529822636406</x:v>
      </x:c>
      <x:c r="C8" s="18" t="n">
        <x:v>15.88529822636406</x:v>
      </x:c>
      <x:c r="D8" s="18" t="n">
        <x:v>0.3180394227102324</x:v>
      </x:c>
      <x:c r="E8" s="16" t="n">
        <x:v>89576</x:v>
      </x:c>
      <x:c r="F8" s="8" t="str">
        <x:v>INSPIRE target-population resource scenario</x:v>
      </x:c>
      <x:c r="G8" s="18" t="n">
        <x:v>1422941.473924787</x:v>
      </x:c>
    </x:row>
    <x:row r="9">
      <x:c r="A9" s="8" t="str">
        <x:v>universal_1min_proxy</x:v>
      </x:c>
      <x:c r="B9" s="18" t="n">
        <x:v>60</x:v>
      </x:c>
      <x:c r="C9" s="18" t="n">
        <x:v>48</x:v>
      </x:c>
      <x:c r="D9" s="18" t="n">
        <x:v>0.4922420603401845</x:v>
      </x:c>
      <x:c r="E9" s="16" t="n">
        <x:v>89576</x:v>
      </x:c>
      <x:c r="F9" s="8" t="str">
        <x:v>INSPIRE target-population resource scenario</x:v>
      </x:c>
      <x:c r="G9" s="18" t="n">
        <x:v>4299648</x:v>
      </x:c>
    </x:row>
    <x:row r="10">
      <x:c r="A10" s="8" t="str">
        <x:v>universal_continuous_reference</x:v>
      </x:c>
      <x:c r="B10" s="18"/>
      <x:c r="C10" s="18"/>
      <x:c r="D10" s="18" t="n">
        <x:v>1</x:v>
      </x:c>
      <x:c r="E10" s="16" t="n">
        <x:v>89576</x:v>
      </x:c>
      <x:c r="F10" s="8" t="str">
        <x:v>INSPIRE target-population resource scenario</x:v>
      </x:c>
      <x:c r="G10" s="18" t="n">
        <x:v>0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9" hidden="0" customWidth="1"/>
    <x:col min="4" max="4" width="23" hidden="0" customWidth="1"/>
    <x:col min="5" max="5" width="31" hidden="0" customWidth="1"/>
    <x:col min="6" max="6" width="34" hidden="0" customWidth="1"/>
    <x:col min="7" max="7" width="34" hidden="0" customWidth="1"/>
    <x:col min="8" max="8" width="33" hidden="0" customWidth="1"/>
    <x:col min="9" max="9" width="34" hidden="0" customWidth="1"/>
    <x:col min="10" max="10" width="34" hidden="0" customWidth="1"/>
  </x:cols>
  <x:sheetData>
    <x:row r="1" ht="32" customHeight="1">
      <x:c r="A1" s="14" t="str">
        <x:v>gold_links</x:v>
      </x:c>
      <x:c r="B1" s="14" t="str">
        <x:v>silver_links</x:v>
      </x:c>
      <x:c r="C1" s="14" t="str">
        <x:v>ambiguous_rejects</x:v>
      </x:c>
      <x:c r="D1" s="14" t="str">
        <x:v>minimum_gold_required</x:v>
      </x:c>
      <x:c r="E1" s="14" t="str">
        <x:v>direct_waveform_claim_allowed</x:v>
      </x:c>
      <x:c r="F1" s="14" t="str">
        <x:v>language</x:v>
      </x:c>
      <x:c r="G1" s="14" t="str">
        <x:v>gate_level</x:v>
      </x:c>
      <x:c r="H1" s="14" t="str">
        <x:v>minute_level_fallback_available</x:v>
      </x:c>
      <x:c r="I1" s="14" t="str">
        <x:v>direct_waveform_linkage_completed</x:v>
      </x:c>
      <x:c r="J1" s="14" t="str">
        <x:v>claim_boundary</x:v>
      </x:c>
    </x:row>
    <x:row r="2">
      <x:c r="A2" s="16" t="n">
        <x:v>0</x:v>
      </x:c>
      <x:c r="B2" s="16" t="n">
        <x:v>0</x:v>
      </x:c>
      <x:c r="C2" s="16" t="n">
        <x:v>0</x:v>
      </x:c>
      <x:c r="D2" s="16" t="n">
        <x:v>1000</x:v>
      </x:c>
      <x:c r="E2" s="28" t="b">
        <x:v>0</x:v>
      </x:c>
      <x:c r="F2" s="8" t="str">
        <x:v>No direct waveform claim; MoVeR may be described only as a gate-failed waveform audit or limited fallback.</x:v>
      </x:c>
      <x:c r="G2" s="8" t="str">
        <x:v>G2 minute-level fallback available</x:v>
      </x:c>
      <x:c r="H2" s="28" t="b">
        <x:v>1</x:v>
      </x:c>
      <x:c r="I2" s="28" t="b">
        <x:v>0</x:v>
      </x:c>
      <x:c r="J2" s="8" t="str">
        <x:v>MoVeR is optional and gate-controlled; no direct waveform claim is generated in the current analysis.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</x:cols>
  <x:sheetData>
    <x:row r="1" ht="32" customHeight="1">
      <x:c r="A1" s="14" t="str">
        <x:v>metric</x:v>
      </x:c>
      <x:c r="B1" s="14" t="str">
        <x:v>definition</x:v>
      </x:c>
      <x:c r="C1" s="14" t="str">
        <x:v>role</x:v>
      </x:c>
    </x:row>
    <x:row r="2">
      <x:c r="A2" s="8" t="str">
        <x:v>HDR</x:v>
      </x:c>
      <x:c r="B2" s="8" t="str">
        <x:v>sum_i HiddenAUC_i / sum_i TrueAUC_i</x:v>
      </x:c>
      <x:c r="C2" s="8" t="str">
        <x:v>primary endpoint for MAP&lt;65 fixed 5-min display</x:v>
      </x:c>
    </x:row>
    <x:row r="3">
      <x:c r="A3" s="8" t="str">
        <x:v>ODR</x:v>
      </x:c>
      <x:c r="B3" s="8" t="str">
        <x:v>sum_i OverdisplayAUC_i / sum_i TrueAUC_i</x:v>
      </x:c>
      <x:c r="C3" s="8" t="str">
        <x:v>key co-primary/secondary endpoint for MAP&lt;65 fixed 5-min display</x:v>
      </x:c>
    </x:row>
    <x:row r="4">
      <x:c r="A4" s="8" t="str">
        <x:v>NetBias</x:v>
      </x:c>
      <x:c r="B4" s="8" t="str">
        <x:v>ODR - HDR, equivalent to (DisplayAUC - TrueAUC) / TrueAUC</x:v>
      </x:c>
      <x:c r="C4" s="8" t="str">
        <x:v>net bias after bidirectional components</x:v>
      </x:c>
    </x:row>
    <x:row r="5">
      <x:c r="A5" s="8" t="str">
        <x:v>normotensive_display_discordance_min</x:v>
      </x:c>
      <x:c r="B5" s="8" t="str">
        <x:v>minutes with reference hypotension but displayed MAP at or above threshold</x:v>
      </x:c>
      <x:c r="C5" s="8" t="str">
        <x:v>unrecognised hypotensive display time</x:v>
      </x:c>
    </x:row>
    <x:row r="6">
      <x:c r="A6" s="8" t="str">
        <x:v>hypotensive_display_discordance_min</x:v>
      </x:c>
      <x:c r="B6" s="8" t="str">
        <x:v>minutes with reference non-hypotension but displayed MAP below threshold</x:v>
      </x:c>
      <x:c r="C6" s="8" t="str">
        <x:v>overdisplayed hypotensive time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1" hidden="0" customWidth="1"/>
    <x:col min="4" max="4" width="14" hidden="0" customWidth="1"/>
    <x:col min="5" max="5" width="20" hidden="0" customWidth="1"/>
    <x:col min="6" max="6" width="17" hidden="0" customWidth="1"/>
    <x:col min="7" max="7" width="19" hidden="0" customWidth="1"/>
    <x:col min="8" max="8" width="20" hidden="0" customWidth="1"/>
    <x:col min="9" max="9" width="25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nadir_bin</x:v>
      </x:c>
      <x:c r="D1" s="14" t="str">
        <x:v>duration_bin</x:v>
      </x:c>
      <x:c r="E1" s="14" t="str">
        <x:v>reference_episodes</x:v>
      </x:c>
      <x:c r="F1" s="14" t="str">
        <x:v>missed_episodes</x:v>
      </x:c>
      <x:c r="G1" s="14" t="str">
        <x:v>detected_episodes</x:v>
      </x:c>
      <x:c r="H1" s="14" t="str">
        <x:v>episode_true_auc</x:v>
      </x:c>
      <x:c r="I1" s="14" t="str">
        <x:v>missed_episode_fraction</x:v>
      </x:c>
    </x:row>
    <x:row r="2">
      <x:c r="A2" s="16" t="n">
        <x:v>65</x:v>
      </x:c>
      <x:c r="B2" s="16" t="n">
        <x:v>1</x:v>
      </x:c>
      <x:c r="C2" s="8" t="str">
        <x:v>55-60</x:v>
      </x:c>
      <x:c r="D2" s="8" t="str">
        <x:v>1-3min</x:v>
      </x:c>
      <x:c r="E2" s="16" t="n">
        <x:v>1540</x:v>
      </x:c>
      <x:c r="F2" s="16" t="n">
        <x:v>0</x:v>
      </x:c>
      <x:c r="G2" s="16" t="n">
        <x:v>1540</x:v>
      </x:c>
      <x:c r="H2" s="18" t="n">
        <x:v>12689.25</x:v>
      </x:c>
      <x:c r="I2" s="18" t="n">
        <x:v>0</x:v>
      </x:c>
    </x:row>
    <x:row r="3">
      <x:c r="A3" s="16" t="n">
        <x:v>65</x:v>
      </x:c>
      <x:c r="B3" s="16" t="n">
        <x:v>1</x:v>
      </x:c>
      <x:c r="C3" s="8" t="str">
        <x:v>55-60</x:v>
      </x:c>
      <x:c r="D3" s="8" t="str">
        <x:v>3-5min</x:v>
      </x:c>
      <x:c r="E3" s="16" t="n">
        <x:v>720</x:v>
      </x:c>
      <x:c r="F3" s="16" t="n">
        <x:v>0</x:v>
      </x:c>
      <x:c r="G3" s="16" t="n">
        <x:v>720</x:v>
      </x:c>
      <x:c r="H3" s="18" t="n">
        <x:v>12138.75</x:v>
      </x:c>
      <x:c r="I3" s="18" t="n">
        <x:v>0</x:v>
      </x:c>
    </x:row>
    <x:row r="4">
      <x:c r="A4" s="16" t="n">
        <x:v>65</x:v>
      </x:c>
      <x:c r="B4" s="16" t="n">
        <x:v>1</x:v>
      </x:c>
      <x:c r="C4" s="8" t="str">
        <x:v>55-60</x:v>
      </x:c>
      <x:c r="D4" s="8" t="str">
        <x:v>30-60s</x:v>
      </x:c>
      <x:c r="E4" s="16" t="n">
        <x:v>652</x:v>
      </x:c>
      <x:c r="F4" s="16" t="n">
        <x:v>185</x:v>
      </x:c>
      <x:c r="G4" s="16" t="n">
        <x:v>467</x:v>
      </x:c>
      <x:c r="H4" s="18" t="n">
        <x:v>2004.5</x:v>
      </x:c>
      <x:c r="I4" s="18" t="n">
        <x:v>0.2837423312883436</x:v>
      </x:c>
    </x:row>
    <x:row r="5">
      <x:c r="A5" s="16" t="n">
        <x:v>65</x:v>
      </x:c>
      <x:c r="B5" s="16" t="n">
        <x:v>1</x:v>
      </x:c>
      <x:c r="C5" s="8" t="str">
        <x:v>55-60</x:v>
      </x:c>
      <x:c r="D5" s="8" t="str">
        <x:v>&lt;30s</x:v>
      </x:c>
      <x:c r="E5" s="16" t="n">
        <x:v>1027</x:v>
      </x:c>
      <x:c r="F5" s="16" t="n">
        <x:v>699</x:v>
      </x:c>
      <x:c r="G5" s="16" t="n">
        <x:v>328</x:v>
      </x:c>
      <x:c r="H5" s="18" t="n">
        <x:v>1518.8333333333333</x:v>
      </x:c>
      <x:c r="I5" s="18" t="n">
        <x:v>0.6806231742940604</x:v>
      </x:c>
    </x:row>
    <x:row r="6">
      <x:c r="A6" s="16" t="n">
        <x:v>65</x:v>
      </x:c>
      <x:c r="B6" s="16" t="n">
        <x:v>1</x:v>
      </x:c>
      <x:c r="C6" s="8" t="str">
        <x:v>55-60</x:v>
      </x:c>
      <x:c r="D6" s="8" t="str">
        <x:v>&gt;5min</x:v>
      </x:c>
      <x:c r="E6" s="16" t="n">
        <x:v>729</x:v>
      </x:c>
      <x:c r="F6" s="16" t="n">
        <x:v>0</x:v>
      </x:c>
      <x:c r="G6" s="16" t="n">
        <x:v>729</x:v>
      </x:c>
      <x:c r="H6" s="18" t="n">
        <x:v>27189</x:v>
      </x:c>
      <x:c r="I6" s="18" t="n">
        <x:v>0</x:v>
      </x:c>
    </x:row>
    <x:row r="7">
      <x:c r="A7" s="16" t="n">
        <x:v>65</x:v>
      </x:c>
      <x:c r="B7" s="16" t="n">
        <x:v>1</x:v>
      </x:c>
      <x:c r="C7" s="8" t="str">
        <x:v>60-65</x:v>
      </x:c>
      <x:c r="D7" s="8" t="str">
        <x:v>1-3min</x:v>
      </x:c>
      <x:c r="E7" s="16" t="n">
        <x:v>2597</x:v>
      </x:c>
      <x:c r="F7" s="16" t="n">
        <x:v>0</x:v>
      </x:c>
      <x:c r="G7" s="16" t="n">
        <x:v>2597</x:v>
      </x:c>
      <x:c r="H7" s="18" t="n">
        <x:v>9047.5</x:v>
      </x:c>
      <x:c r="I7" s="18" t="n">
        <x:v>0</x:v>
      </x:c>
    </x:row>
    <x:row r="8">
      <x:c r="A8" s="16" t="n">
        <x:v>65</x:v>
      </x:c>
      <x:c r="B8" s="16" t="n">
        <x:v>1</x:v>
      </x:c>
      <x:c r="C8" s="8" t="str">
        <x:v>60-65</x:v>
      </x:c>
      <x:c r="D8" s="8" t="str">
        <x:v>3-5min</x:v>
      </x:c>
      <x:c r="E8" s="16" t="n">
        <x:v>527</x:v>
      </x:c>
      <x:c r="F8" s="16" t="n">
        <x:v>0</x:v>
      </x:c>
      <x:c r="G8" s="16" t="n">
        <x:v>527</x:v>
      </x:c>
      <x:c r="H8" s="18" t="n">
        <x:v>4786.75</x:v>
      </x:c>
      <x:c r="I8" s="18" t="n">
        <x:v>0</x:v>
      </x:c>
    </x:row>
    <x:row r="9">
      <x:c r="A9" s="16" t="n">
        <x:v>65</x:v>
      </x:c>
      <x:c r="B9" s="16" t="n">
        <x:v>1</x:v>
      </x:c>
      <x:c r="C9" s="8" t="str">
        <x:v>60-65</x:v>
      </x:c>
      <x:c r="D9" s="8" t="str">
        <x:v>30-60s</x:v>
      </x:c>
      <x:c r="E9" s="16" t="n">
        <x:v>3731</x:v>
      </x:c>
      <x:c r="F9" s="16" t="n">
        <x:v>1217</x:v>
      </x:c>
      <x:c r="G9" s="16" t="n">
        <x:v>2514</x:v>
      </x:c>
      <x:c r="H9" s="18" t="n">
        <x:v>4149.5</x:v>
      </x:c>
      <x:c r="I9" s="18" t="n">
        <x:v>0.3261860091128384</x:v>
      </x:c>
    </x:row>
    <x:row r="10">
      <x:c r="A10" s="16" t="n">
        <x:v>65</x:v>
      </x:c>
      <x:c r="B10" s="16" t="n">
        <x:v>1</x:v>
      </x:c>
      <x:c r="C10" s="8" t="str">
        <x:v>60-65</x:v>
      </x:c>
      <x:c r="D10" s="8" t="str">
        <x:v>&lt;30s</x:v>
      </x:c>
      <x:c r="E10" s="16" t="n">
        <x:v>10951</x:v>
      </x:c>
      <x:c r="F10" s="16" t="n">
        <x:v>6945</x:v>
      </x:c>
      <x:c r="G10" s="16" t="n">
        <x:v>4006</x:v>
      </x:c>
      <x:c r="H10" s="18" t="n">
        <x:v>3852</x:v>
      </x:c>
      <x:c r="I10" s="18" t="n">
        <x:v>0.6341886585699936</x:v>
      </x:c>
    </x:row>
    <x:row r="11">
      <x:c r="A11" s="16" t="n">
        <x:v>65</x:v>
      </x:c>
      <x:c r="B11" s="16" t="n">
        <x:v>1</x:v>
      </x:c>
      <x:c r="C11" s="8" t="str">
        <x:v>60-65</x:v>
      </x:c>
      <x:c r="D11" s="8" t="str">
        <x:v>&gt;5min</x:v>
      </x:c>
      <x:c r="E11" s="16" t="n">
        <x:v>214</x:v>
      </x:c>
      <x:c r="F11" s="16" t="n">
        <x:v>0</x:v>
      </x:c>
      <x:c r="G11" s="16" t="n">
        <x:v>214</x:v>
      </x:c>
      <x:c r="H11" s="18" t="n">
        <x:v>4024.25</x:v>
      </x:c>
      <x:c r="I11" s="18" t="n">
        <x:v>0</x:v>
      </x:c>
    </x:row>
    <x:row r="12">
      <x:c r="A12" s="16" t="n">
        <x:v>65</x:v>
      </x:c>
      <x:c r="B12" s="16" t="n">
        <x:v>1</x:v>
      </x:c>
      <x:c r="C12" s="8" t="str">
        <x:v>&lt;55</x:v>
      </x:c>
      <x:c r="D12" s="8" t="str">
        <x:v>1-3min</x:v>
      </x:c>
      <x:c r="E12" s="16" t="n">
        <x:v>1301</x:v>
      </x:c>
      <x:c r="F12" s="16" t="n">
        <x:v>0</x:v>
      </x:c>
      <x:c r="G12" s="16" t="n">
        <x:v>1301</x:v>
      </x:c>
      <x:c r="H12" s="18" t="n">
        <x:v>30132.916666666668</x:v>
      </x:c>
      <x:c r="I12" s="18" t="n">
        <x:v>0</x:v>
      </x:c>
    </x:row>
    <x:row r="13">
      <x:c r="A13" s="16" t="n">
        <x:v>65</x:v>
      </x:c>
      <x:c r="B13" s="16" t="n">
        <x:v>1</x:v>
      </x:c>
      <x:c r="C13" s="8" t="str">
        <x:v>&lt;55</x:v>
      </x:c>
      <x:c r="D13" s="8" t="str">
        <x:v>3-5min</x:v>
      </x:c>
      <x:c r="E13" s="16" t="n">
        <x:v>684</x:v>
      </x:c>
      <x:c r="F13" s="16" t="n">
        <x:v>0</x:v>
      </x:c>
      <x:c r="G13" s="16" t="n">
        <x:v>684</x:v>
      </x:c>
      <x:c r="H13" s="18" t="n">
        <x:v>23943.75</x:v>
      </x:c>
      <x:c r="I13" s="18" t="n">
        <x:v>0</x:v>
      </x:c>
    </x:row>
    <x:row r="14">
      <x:c r="A14" s="16" t="n">
        <x:v>65</x:v>
      </x:c>
      <x:c r="B14" s="16" t="n">
        <x:v>1</x:v>
      </x:c>
      <x:c r="C14" s="8" t="str">
        <x:v>&lt;55</x:v>
      </x:c>
      <x:c r="D14" s="8" t="str">
        <x:v>30-60s</x:v>
      </x:c>
      <x:c r="E14" s="16" t="n">
        <x:v>1537</x:v>
      </x:c>
      <x:c r="F14" s="16" t="n">
        <x:v>574</x:v>
      </x:c>
      <x:c r="G14" s="16" t="n">
        <x:v>963</x:v>
      </x:c>
      <x:c r="H14" s="18" t="n">
        <x:v>21421.916666666668</x:v>
      </x:c>
      <x:c r="I14" s="18" t="n">
        <x:v>0.3734547820429408</x:v>
      </x:c>
    </x:row>
    <x:row r="15">
      <x:c r="A15" s="16" t="n">
        <x:v>65</x:v>
      </x:c>
      <x:c r="B15" s="16" t="n">
        <x:v>1</x:v>
      </x:c>
      <x:c r="C15" s="8" t="str">
        <x:v>&lt;55</x:v>
      </x:c>
      <x:c r="D15" s="8" t="str">
        <x:v>&lt;30s</x:v>
      </x:c>
      <x:c r="E15" s="16" t="n">
        <x:v>5030</x:v>
      </x:c>
      <x:c r="F15" s="16" t="n">
        <x:v>3434</x:v>
      </x:c>
      <x:c r="G15" s="16" t="n">
        <x:v>1596</x:v>
      </x:c>
      <x:c r="H15" s="18" t="n">
        <x:v>30723.166666666668</x:v>
      </x:c>
      <x:c r="I15" s="18" t="n">
        <x:v>0.6827037773359841</x:v>
      </x:c>
    </x:row>
    <x:row r="16">
      <x:c r="A16" s="16" t="n">
        <x:v>65</x:v>
      </x:c>
      <x:c r="B16" s="16" t="n">
        <x:v>1</x:v>
      </x:c>
      <x:c r="C16" s="8" t="str">
        <x:v>&lt;55</x:v>
      </x:c>
      <x:c r="D16" s="8" t="str">
        <x:v>&gt;5min</x:v>
      </x:c>
      <x:c r="E16" s="16" t="n">
        <x:v>875</x:v>
      </x:c>
      <x:c r="F16" s="16" t="n">
        <x:v>0</x:v>
      </x:c>
      <x:c r="G16" s="16" t="n">
        <x:v>875</x:v>
      </x:c>
      <x:c r="H16" s="18" t="n">
        <x:v>74599.75</x:v>
      </x:c>
      <x:c r="I16" s="18" t="n">
        <x:v>0</x:v>
      </x:c>
    </x:row>
    <x:row r="17">
      <x:c r="A17" s="16" t="n">
        <x:v>65</x:v>
      </x:c>
      <x:c r="B17" s="16" t="n">
        <x:v>5</x:v>
      </x:c>
      <x:c r="C17" s="8" t="str">
        <x:v>55-60</x:v>
      </x:c>
      <x:c r="D17" s="8" t="str">
        <x:v>1-3min</x:v>
      </x:c>
      <x:c r="E17" s="16" t="n">
        <x:v>1540</x:v>
      </x:c>
      <x:c r="F17" s="16" t="n">
        <x:v>763</x:v>
      </x:c>
      <x:c r="G17" s="16" t="n">
        <x:v>777</x:v>
      </x:c>
      <x:c r="H17" s="18" t="n">
        <x:v>12689.25</x:v>
      </x:c>
      <x:c r="I17" s="18" t="n">
        <x:v>0.4954545454545455</x:v>
      </x:c>
    </x:row>
    <x:row r="18">
      <x:c r="A18" s="16" t="n">
        <x:v>65</x:v>
      </x:c>
      <x:c r="B18" s="16" t="n">
        <x:v>5</x:v>
      </x:c>
      <x:c r="C18" s="8" t="str">
        <x:v>55-60</x:v>
      </x:c>
      <x:c r="D18" s="8" t="str">
        <x:v>3-5min</x:v>
      </x:c>
      <x:c r="E18" s="16" t="n">
        <x:v>720</x:v>
      </x:c>
      <x:c r="F18" s="16" t="n">
        <x:v>156</x:v>
      </x:c>
      <x:c r="G18" s="16" t="n">
        <x:v>564</x:v>
      </x:c>
      <x:c r="H18" s="18" t="n">
        <x:v>12138.75</x:v>
      </x:c>
      <x:c r="I18" s="18" t="n">
        <x:v>0.21666666666666667</x:v>
      </x:c>
    </x:row>
    <x:row r="19">
      <x:c r="A19" s="16" t="n">
        <x:v>65</x:v>
      </x:c>
      <x:c r="B19" s="16" t="n">
        <x:v>5</x:v>
      </x:c>
      <x:c r="C19" s="8" t="str">
        <x:v>55-60</x:v>
      </x:c>
      <x:c r="D19" s="8" t="str">
        <x:v>30-60s</x:v>
      </x:c>
      <x:c r="E19" s="16" t="n">
        <x:v>652</x:v>
      </x:c>
      <x:c r="F19" s="16" t="n">
        <x:v>417</x:v>
      </x:c>
      <x:c r="G19" s="16" t="n">
        <x:v>235</x:v>
      </x:c>
      <x:c r="H19" s="18" t="n">
        <x:v>2004.5</x:v>
      </x:c>
      <x:c r="I19" s="18" t="n">
        <x:v>0.6395705521472392</x:v>
      </x:c>
    </x:row>
    <x:row r="20">
      <x:c r="A20" s="16" t="n">
        <x:v>65</x:v>
      </x:c>
      <x:c r="B20" s="16" t="n">
        <x:v>5</x:v>
      </x:c>
      <x:c r="C20" s="8" t="str">
        <x:v>55-60</x:v>
      </x:c>
      <x:c r="D20" s="8" t="str">
        <x:v>&lt;30s</x:v>
      </x:c>
      <x:c r="E20" s="16" t="n">
        <x:v>1027</x:v>
      </x:c>
      <x:c r="F20" s="16" t="n">
        <x:v>810</x:v>
      </x:c>
      <x:c r="G20" s="16" t="n">
        <x:v>217</x:v>
      </x:c>
      <x:c r="H20" s="18" t="n">
        <x:v>1518.8333333333333</x:v>
      </x:c>
      <x:c r="I20" s="18" t="n">
        <x:v>0.7887049659201558</x:v>
      </x:c>
    </x:row>
    <x:row r="21">
      <x:c r="A21" s="16" t="n">
        <x:v>65</x:v>
      </x:c>
      <x:c r="B21" s="16" t="n">
        <x:v>5</x:v>
      </x:c>
      <x:c r="C21" s="8" t="str">
        <x:v>55-60</x:v>
      </x:c>
      <x:c r="D21" s="8" t="str">
        <x:v>&gt;5min</x:v>
      </x:c>
      <x:c r="E21" s="16" t="n">
        <x:v>729</x:v>
      </x:c>
      <x:c r="F21" s="16" t="n">
        <x:v>0</x:v>
      </x:c>
      <x:c r="G21" s="16" t="n">
        <x:v>729</x:v>
      </x:c>
      <x:c r="H21" s="18" t="n">
        <x:v>27189</x:v>
      </x:c>
      <x:c r="I21" s="18" t="n">
        <x:v>0</x:v>
      </x:c>
    </x:row>
    <x:row r="22">
      <x:c r="A22" s="16" t="n">
        <x:v>65</x:v>
      </x:c>
      <x:c r="B22" s="16" t="n">
        <x:v>5</x:v>
      </x:c>
      <x:c r="C22" s="8" t="str">
        <x:v>60-65</x:v>
      </x:c>
      <x:c r="D22" s="8" t="str">
        <x:v>1-3min</x:v>
      </x:c>
      <x:c r="E22" s="16" t="n">
        <x:v>2597</x:v>
      </x:c>
      <x:c r="F22" s="16" t="n">
        <x:v>1322</x:v>
      </x:c>
      <x:c r="G22" s="16" t="n">
        <x:v>1275</x:v>
      </x:c>
      <x:c r="H22" s="18" t="n">
        <x:v>9047.5</x:v>
      </x:c>
      <x:c r="I22" s="18" t="n">
        <x:v>0.5090489025798999</x:v>
      </x:c>
    </x:row>
    <x:row r="23">
      <x:c r="A23" s="16" t="n">
        <x:v>65</x:v>
      </x:c>
      <x:c r="B23" s="16" t="n">
        <x:v>5</x:v>
      </x:c>
      <x:c r="C23" s="8" t="str">
        <x:v>60-65</x:v>
      </x:c>
      <x:c r="D23" s="8" t="str">
        <x:v>3-5min</x:v>
      </x:c>
      <x:c r="E23" s="16" t="n">
        <x:v>527</x:v>
      </x:c>
      <x:c r="F23" s="16" t="n">
        <x:v>100</x:v>
      </x:c>
      <x:c r="G23" s="16" t="n">
        <x:v>427</x:v>
      </x:c>
      <x:c r="H23" s="18" t="n">
        <x:v>4786.75</x:v>
      </x:c>
      <x:c r="I23" s="18" t="n">
        <x:v>0.18975332068311196</x:v>
      </x:c>
    </x:row>
    <x:row r="24">
      <x:c r="A24" s="16" t="n">
        <x:v>65</x:v>
      </x:c>
      <x:c r="B24" s="16" t="n">
        <x:v>5</x:v>
      </x:c>
      <x:c r="C24" s="8" t="str">
        <x:v>60-65</x:v>
      </x:c>
      <x:c r="D24" s="8" t="str">
        <x:v>30-60s</x:v>
      </x:c>
      <x:c r="E24" s="16" t="n">
        <x:v>3731</x:v>
      </x:c>
      <x:c r="F24" s="16" t="n">
        <x:v>2478</x:v>
      </x:c>
      <x:c r="G24" s="16" t="n">
        <x:v>1253</x:v>
      </x:c>
      <x:c r="H24" s="18" t="n">
        <x:v>4149.5</x:v>
      </x:c>
      <x:c r="I24" s="18" t="n">
        <x:v>0.6641651031894934</x:v>
      </x:c>
    </x:row>
    <x:row r="25">
      <x:c r="A25" s="16" t="n">
        <x:v>65</x:v>
      </x:c>
      <x:c r="B25" s="16" t="n">
        <x:v>5</x:v>
      </x:c>
      <x:c r="C25" s="8" t="str">
        <x:v>60-65</x:v>
      </x:c>
      <x:c r="D25" s="8" t="str">
        <x:v>&lt;30s</x:v>
      </x:c>
      <x:c r="E25" s="16" t="n">
        <x:v>10951</x:v>
      </x:c>
      <x:c r="F25" s="16" t="n">
        <x:v>8091</x:v>
      </x:c>
      <x:c r="G25" s="16" t="n">
        <x:v>2860</x:v>
      </x:c>
      <x:c r="H25" s="18" t="n">
        <x:v>3852</x:v>
      </x:c>
      <x:c r="I25" s="18" t="n">
        <x:v>0.7388366359236599</x:v>
      </x:c>
    </x:row>
    <x:row r="26">
      <x:c r="A26" s="16" t="n">
        <x:v>65</x:v>
      </x:c>
      <x:c r="B26" s="16" t="n">
        <x:v>5</x:v>
      </x:c>
      <x:c r="C26" s="8" t="str">
        <x:v>60-65</x:v>
      </x:c>
      <x:c r="D26" s="8" t="str">
        <x:v>&gt;5min</x:v>
      </x:c>
      <x:c r="E26" s="16" t="n">
        <x:v>214</x:v>
      </x:c>
      <x:c r="F26" s="16" t="n">
        <x:v>0</x:v>
      </x:c>
      <x:c r="G26" s="16" t="n">
        <x:v>214</x:v>
      </x:c>
      <x:c r="H26" s="18" t="n">
        <x:v>4024.25</x:v>
      </x:c>
      <x:c r="I26" s="18" t="n">
        <x:v>0</x:v>
      </x:c>
    </x:row>
    <x:row r="27">
      <x:c r="A27" s="16" t="n">
        <x:v>65</x:v>
      </x:c>
      <x:c r="B27" s="16" t="n">
        <x:v>5</x:v>
      </x:c>
      <x:c r="C27" s="8" t="str">
        <x:v>&lt;55</x:v>
      </x:c>
      <x:c r="D27" s="8" t="str">
        <x:v>1-3min</x:v>
      </x:c>
      <x:c r="E27" s="16" t="n">
        <x:v>1301</x:v>
      </x:c>
      <x:c r="F27" s="16" t="n">
        <x:v>681</x:v>
      </x:c>
      <x:c r="G27" s="16" t="n">
        <x:v>620</x:v>
      </x:c>
      <x:c r="H27" s="18" t="n">
        <x:v>30132.916666666668</x:v>
      </x:c>
      <x:c r="I27" s="18" t="n">
        <x:v>0.5234435049961568</x:v>
      </x:c>
    </x:row>
    <x:row r="28">
      <x:c r="A28" s="16" t="n">
        <x:v>65</x:v>
      </x:c>
      <x:c r="B28" s="16" t="n">
        <x:v>5</x:v>
      </x:c>
      <x:c r="C28" s="8" t="str">
        <x:v>&lt;55</x:v>
      </x:c>
      <x:c r="D28" s="8" t="str">
        <x:v>3-5min</x:v>
      </x:c>
      <x:c r="E28" s="16" t="n">
        <x:v>684</x:v>
      </x:c>
      <x:c r="F28" s="16" t="n">
        <x:v>130</x:v>
      </x:c>
      <x:c r="G28" s="16" t="n">
        <x:v>554</x:v>
      </x:c>
      <x:c r="H28" s="18" t="n">
        <x:v>23943.75</x:v>
      </x:c>
      <x:c r="I28" s="18" t="n">
        <x:v>0.19005847953216373</x:v>
      </x:c>
    </x:row>
    <x:row r="29">
      <x:c r="A29" s="16" t="n">
        <x:v>65</x:v>
      </x:c>
      <x:c r="B29" s="16" t="n">
        <x:v>5</x:v>
      </x:c>
      <x:c r="C29" s="8" t="str">
        <x:v>&lt;55</x:v>
      </x:c>
      <x:c r="D29" s="8" t="str">
        <x:v>30-60s</x:v>
      </x:c>
      <x:c r="E29" s="16" t="n">
        <x:v>1537</x:v>
      </x:c>
      <x:c r="F29" s="16" t="n">
        <x:v>1209</x:v>
      </x:c>
      <x:c r="G29" s="16" t="n">
        <x:v>328</x:v>
      </x:c>
      <x:c r="H29" s="18" t="n">
        <x:v>21421.916666666668</x:v>
      </x:c>
      <x:c r="I29" s="18" t="n">
        <x:v>0.7865972674040338</x:v>
      </x:c>
    </x:row>
    <x:row r="30">
      <x:c r="A30" s="16" t="n">
        <x:v>65</x:v>
      </x:c>
      <x:c r="B30" s="16" t="n">
        <x:v>5</x:v>
      </x:c>
      <x:c r="C30" s="8" t="str">
        <x:v>&lt;55</x:v>
      </x:c>
      <x:c r="D30" s="8" t="str">
        <x:v>&lt;30s</x:v>
      </x:c>
      <x:c r="E30" s="16" t="n">
        <x:v>5030</x:v>
      </x:c>
      <x:c r="F30" s="16" t="n">
        <x:v>4437</x:v>
      </x:c>
      <x:c r="G30" s="16" t="n">
        <x:v>593</x:v>
      </x:c>
      <x:c r="H30" s="18" t="n">
        <x:v>30723.166666666668</x:v>
      </x:c>
      <x:c r="I30" s="18" t="n">
        <x:v>0.8821073558648111</x:v>
      </x:c>
    </x:row>
    <x:row r="31">
      <x:c r="A31" s="16" t="n">
        <x:v>65</x:v>
      </x:c>
      <x:c r="B31" s="16" t="n">
        <x:v>5</x:v>
      </x:c>
      <x:c r="C31" s="8" t="str">
        <x:v>&lt;55</x:v>
      </x:c>
      <x:c r="D31" s="8" t="str">
        <x:v>&gt;5min</x:v>
      </x:c>
      <x:c r="E31" s="16" t="n">
        <x:v>875</x:v>
      </x:c>
      <x:c r="F31" s="16" t="n">
        <x:v>0</x:v>
      </x:c>
      <x:c r="G31" s="16" t="n">
        <x:v>875</x:v>
      </x:c>
      <x:c r="H31" s="18" t="n">
        <x:v>74599.75</x:v>
      </x:c>
      <x:c r="I31" s="18" t="n">
        <x:v>0</x:v>
      </x:c>
    </x:row>
    <x:row r="32">
      <x:c r="A32" s="16" t="n">
        <x:v>65</x:v>
      </x:c>
      <x:c r="B32" s="16" t="n">
        <x:v>10</x:v>
      </x:c>
      <x:c r="C32" s="8" t="str">
        <x:v>55-60</x:v>
      </x:c>
      <x:c r="D32" s="8" t="str">
        <x:v>1-3min</x:v>
      </x:c>
      <x:c r="E32" s="16" t="n">
        <x:v>1540</x:v>
      </x:c>
      <x:c r="F32" s="16" t="n">
        <x:v>983</x:v>
      </x:c>
      <x:c r="G32" s="16" t="n">
        <x:v>557</x:v>
      </x:c>
      <x:c r="H32" s="18" t="n">
        <x:v>12689.25</x:v>
      </x:c>
      <x:c r="I32" s="18" t="n">
        <x:v>0.6383116883116883</x:v>
      </x:c>
    </x:row>
    <x:row r="33">
      <x:c r="A33" s="16" t="n">
        <x:v>65</x:v>
      </x:c>
      <x:c r="B33" s="16" t="n">
        <x:v>10</x:v>
      </x:c>
      <x:c r="C33" s="8" t="str">
        <x:v>55-60</x:v>
      </x:c>
      <x:c r="D33" s="8" t="str">
        <x:v>3-5min</x:v>
      </x:c>
      <x:c r="E33" s="16" t="n">
        <x:v>720</x:v>
      </x:c>
      <x:c r="F33" s="16" t="n">
        <x:v>335</x:v>
      </x:c>
      <x:c r="G33" s="16" t="n">
        <x:v>385</x:v>
      </x:c>
      <x:c r="H33" s="18" t="n">
        <x:v>12138.75</x:v>
      </x:c>
      <x:c r="I33" s="18" t="n">
        <x:v>0.4652777777777778</x:v>
      </x:c>
    </x:row>
    <x:row r="34">
      <x:c r="A34" s="16" t="n">
        <x:v>65</x:v>
      </x:c>
      <x:c r="B34" s="16" t="n">
        <x:v>10</x:v>
      </x:c>
      <x:c r="C34" s="8" t="str">
        <x:v>55-60</x:v>
      </x:c>
      <x:c r="D34" s="8" t="str">
        <x:v>30-60s</x:v>
      </x:c>
      <x:c r="E34" s="16" t="n">
        <x:v>652</x:v>
      </x:c>
      <x:c r="F34" s="16" t="n">
        <x:v>471</x:v>
      </x:c>
      <x:c r="G34" s="16" t="n">
        <x:v>181</x:v>
      </x:c>
      <x:c r="H34" s="18" t="n">
        <x:v>2004.5</x:v>
      </x:c>
      <x:c r="I34" s="18" t="n">
        <x:v>0.7223926380368099</x:v>
      </x:c>
    </x:row>
    <x:row r="35">
      <x:c r="A35" s="16" t="n">
        <x:v>65</x:v>
      </x:c>
      <x:c r="B35" s="16" t="n">
        <x:v>10</x:v>
      </x:c>
      <x:c r="C35" s="8" t="str">
        <x:v>55-60</x:v>
      </x:c>
      <x:c r="D35" s="8" t="str">
        <x:v>&lt;30s</x:v>
      </x:c>
      <x:c r="E35" s="16" t="n">
        <x:v>1027</x:v>
      </x:c>
      <x:c r="F35" s="16" t="n">
        <x:v>867</x:v>
      </x:c>
      <x:c r="G35" s="16" t="n">
        <x:v>160</x:v>
      </x:c>
      <x:c r="H35" s="18" t="n">
        <x:v>1518.8333333333333</x:v>
      </x:c>
      <x:c r="I35" s="18" t="n">
        <x:v>0.8442064264849075</x:v>
      </x:c>
    </x:row>
    <x:row r="36">
      <x:c r="A36" s="16" t="n">
        <x:v>65</x:v>
      </x:c>
      <x:c r="B36" s="16" t="n">
        <x:v>10</x:v>
      </x:c>
      <x:c r="C36" s="8" t="str">
        <x:v>55-60</x:v>
      </x:c>
      <x:c r="D36" s="8" t="str">
        <x:v>&gt;5min</x:v>
      </x:c>
      <x:c r="E36" s="16" t="n">
        <x:v>729</x:v>
      </x:c>
      <x:c r="F36" s="16" t="n">
        <x:v>155</x:v>
      </x:c>
      <x:c r="G36" s="16" t="n">
        <x:v>574</x:v>
      </x:c>
      <x:c r="H36" s="18" t="n">
        <x:v>27189</x:v>
      </x:c>
      <x:c r="I36" s="18" t="n">
        <x:v>0.21262002743484226</x:v>
      </x:c>
    </x:row>
    <x:row r="37">
      <x:c r="A37" s="16" t="n">
        <x:v>65</x:v>
      </x:c>
      <x:c r="B37" s="16" t="n">
        <x:v>10</x:v>
      </x:c>
      <x:c r="C37" s="8" t="str">
        <x:v>60-65</x:v>
      </x:c>
      <x:c r="D37" s="8" t="str">
        <x:v>1-3min</x:v>
      </x:c>
      <x:c r="E37" s="16" t="n">
        <x:v>2597</x:v>
      </x:c>
      <x:c r="F37" s="16" t="n">
        <x:v>1694</x:v>
      </x:c>
      <x:c r="G37" s="16" t="n">
        <x:v>903</x:v>
      </x:c>
      <x:c r="H37" s="18" t="n">
        <x:v>9047.5</x:v>
      </x:c>
      <x:c r="I37" s="18" t="n">
        <x:v>0.6522911051212938</x:v>
      </x:c>
    </x:row>
    <x:row r="38">
      <x:c r="A38" s="16" t="n">
        <x:v>65</x:v>
      </x:c>
      <x:c r="B38" s="16" t="n">
        <x:v>10</x:v>
      </x:c>
      <x:c r="C38" s="8" t="str">
        <x:v>60-65</x:v>
      </x:c>
      <x:c r="D38" s="8" t="str">
        <x:v>3-5min</x:v>
      </x:c>
      <x:c r="E38" s="16" t="n">
        <x:v>527</x:v>
      </x:c>
      <x:c r="F38" s="16" t="n">
        <x:v>263</x:v>
      </x:c>
      <x:c r="G38" s="16" t="n">
        <x:v>264</x:v>
      </x:c>
      <x:c r="H38" s="18" t="n">
        <x:v>4786.75</x:v>
      </x:c>
      <x:c r="I38" s="18" t="n">
        <x:v>0.4990512333965844</x:v>
      </x:c>
    </x:row>
    <x:row r="39">
      <x:c r="A39" s="16" t="n">
        <x:v>65</x:v>
      </x:c>
      <x:c r="B39" s="16" t="n">
        <x:v>10</x:v>
      </x:c>
      <x:c r="C39" s="8" t="str">
        <x:v>60-65</x:v>
      </x:c>
      <x:c r="D39" s="8" t="str">
        <x:v>30-60s</x:v>
      </x:c>
      <x:c r="E39" s="16" t="n">
        <x:v>3731</x:v>
      </x:c>
      <x:c r="F39" s="16" t="n">
        <x:v>2714</x:v>
      </x:c>
      <x:c r="G39" s="16" t="n">
        <x:v>1017</x:v>
      </x:c>
      <x:c r="H39" s="18" t="n">
        <x:v>4149.5</x:v>
      </x:c>
      <x:c r="I39" s="18" t="n">
        <x:v>0.7274189225408738</x:v>
      </x:c>
    </x:row>
    <x:row r="40">
      <x:c r="A40" s="16" t="n">
        <x:v>65</x:v>
      </x:c>
      <x:c r="B40" s="16" t="n">
        <x:v>10</x:v>
      </x:c>
      <x:c r="C40" s="8" t="str">
        <x:v>60-65</x:v>
      </x:c>
      <x:c r="D40" s="8" t="str">
        <x:v>&lt;30s</x:v>
      </x:c>
      <x:c r="E40" s="16" t="n">
        <x:v>10951</x:v>
      </x:c>
      <x:c r="F40" s="16" t="n">
        <x:v>8455</x:v>
      </x:c>
      <x:c r="G40" s="16" t="n">
        <x:v>2496</x:v>
      </x:c>
      <x:c r="H40" s="18" t="n">
        <x:v>3852</x:v>
      </x:c>
      <x:c r="I40" s="18" t="n">
        <x:v>0.772075609533376</x:v>
      </x:c>
    </x:row>
    <x:row r="41">
      <x:c r="A41" s="16" t="n">
        <x:v>65</x:v>
      </x:c>
      <x:c r="B41" s="16" t="n">
        <x:v>10</x:v>
      </x:c>
      <x:c r="C41" s="8" t="str">
        <x:v>60-65</x:v>
      </x:c>
      <x:c r="D41" s="8" t="str">
        <x:v>&gt;5min</x:v>
      </x:c>
      <x:c r="E41" s="16" t="n">
        <x:v>214</x:v>
      </x:c>
      <x:c r="F41" s="16" t="n">
        <x:v>56</x:v>
      </x:c>
      <x:c r="G41" s="16" t="n">
        <x:v>158</x:v>
      </x:c>
      <x:c r="H41" s="18" t="n">
        <x:v>4024.25</x:v>
      </x:c>
      <x:c r="I41" s="18" t="n">
        <x:v>0.2616822429906542</x:v>
      </x:c>
    </x:row>
    <x:row r="42">
      <x:c r="A42" s="16" t="n">
        <x:v>65</x:v>
      </x:c>
      <x:c r="B42" s="16" t="n">
        <x:v>10</x:v>
      </x:c>
      <x:c r="C42" s="8" t="str">
        <x:v>&lt;55</x:v>
      </x:c>
      <x:c r="D42" s="8" t="str">
        <x:v>1-3min</x:v>
      </x:c>
      <x:c r="E42" s="16" t="n">
        <x:v>1301</x:v>
      </x:c>
      <x:c r="F42" s="16" t="n">
        <x:v>877</x:v>
      </x:c>
      <x:c r="G42" s="16" t="n">
        <x:v>424</x:v>
      </x:c>
      <x:c r="H42" s="18" t="n">
        <x:v>30132.916666666668</x:v>
      </x:c>
      <x:c r="I42" s="18" t="n">
        <x:v>0.6740968485780169</x:v>
      </x:c>
    </x:row>
    <x:row r="43">
      <x:c r="A43" s="16" t="n">
        <x:v>65</x:v>
      </x:c>
      <x:c r="B43" s="16" t="n">
        <x:v>10</x:v>
      </x:c>
      <x:c r="C43" s="8" t="str">
        <x:v>&lt;55</x:v>
      </x:c>
      <x:c r="D43" s="8" t="str">
        <x:v>3-5min</x:v>
      </x:c>
      <x:c r="E43" s="16" t="n">
        <x:v>684</x:v>
      </x:c>
      <x:c r="F43" s="16" t="n">
        <x:v>334</x:v>
      </x:c>
      <x:c r="G43" s="16" t="n">
        <x:v>350</x:v>
      </x:c>
      <x:c r="H43" s="18" t="n">
        <x:v>23943.75</x:v>
      </x:c>
      <x:c r="I43" s="18" t="n">
        <x:v>0.48830409356725146</x:v>
      </x:c>
    </x:row>
    <x:row r="44">
      <x:c r="A44" s="16" t="n">
        <x:v>65</x:v>
      </x:c>
      <x:c r="B44" s="16" t="n">
        <x:v>10</x:v>
      </x:c>
      <x:c r="C44" s="8" t="str">
        <x:v>&lt;55</x:v>
      </x:c>
      <x:c r="D44" s="8" t="str">
        <x:v>30-60s</x:v>
      </x:c>
      <x:c r="E44" s="16" t="n">
        <x:v>1537</x:v>
      </x:c>
      <x:c r="F44" s="16" t="n">
        <x:v>1319</x:v>
      </x:c>
      <x:c r="G44" s="16" t="n">
        <x:v>218</x:v>
      </x:c>
      <x:c r="H44" s="18" t="n">
        <x:v>21421.916666666668</x:v>
      </x:c>
      <x:c r="I44" s="18" t="n">
        <x:v>0.8581652569941445</x:v>
      </x:c>
    </x:row>
    <x:row r="45">
      <x:c r="A45" s="16" t="n">
        <x:v>65</x:v>
      </x:c>
      <x:c r="B45" s="16" t="n">
        <x:v>10</x:v>
      </x:c>
      <x:c r="C45" s="8" t="str">
        <x:v>&lt;55</x:v>
      </x:c>
      <x:c r="D45" s="8" t="str">
        <x:v>&lt;30s</x:v>
      </x:c>
      <x:c r="E45" s="16" t="n">
        <x:v>5030</x:v>
      </x:c>
      <x:c r="F45" s="16" t="n">
        <x:v>4622</x:v>
      </x:c>
      <x:c r="G45" s="16" t="n">
        <x:v>408</x:v>
      </x:c>
      <x:c r="H45" s="18" t="n">
        <x:v>30723.166666666668</x:v>
      </x:c>
      <x:c r="I45" s="18" t="n">
        <x:v>0.9188866799204771</x:v>
      </x:c>
    </x:row>
    <x:row r="46">
      <x:c r="A46" s="16" t="n">
        <x:v>65</x:v>
      </x:c>
      <x:c r="B46" s="16" t="n">
        <x:v>10</x:v>
      </x:c>
      <x:c r="C46" s="8" t="str">
        <x:v>&lt;55</x:v>
      </x:c>
      <x:c r="D46" s="8" t="str">
        <x:v>&gt;5min</x:v>
      </x:c>
      <x:c r="E46" s="16" t="n">
        <x:v>875</x:v>
      </x:c>
      <x:c r="F46" s="16" t="n">
        <x:v>139</x:v>
      </x:c>
      <x:c r="G46" s="16" t="n">
        <x:v>736</x:v>
      </x:c>
      <x:c r="H46" s="18" t="n">
        <x:v>74599.75</x:v>
      </x:c>
      <x:c r="I46" s="18" t="n">
        <x:v>0.15885714285714286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9" hidden="0" customWidth="1"/>
    <x:col min="4" max="4" width="23" hidden="0" customWidth="1"/>
    <x:col min="5" max="5" width="31" hidden="0" customWidth="1"/>
    <x:col min="6" max="6" width="34" hidden="0" customWidth="1"/>
    <x:col min="7" max="7" width="34" hidden="0" customWidth="1"/>
    <x:col min="8" max="8" width="33" hidden="0" customWidth="1"/>
    <x:col min="9" max="9" width="34" hidden="0" customWidth="1"/>
    <x:col min="10" max="10" width="34" hidden="0" customWidth="1"/>
  </x:cols>
  <x:sheetData>
    <x:row r="1" ht="32" customHeight="1">
      <x:c r="A1" s="14" t="str">
        <x:v>gold_links</x:v>
      </x:c>
      <x:c r="B1" s="14" t="str">
        <x:v>silver_links</x:v>
      </x:c>
      <x:c r="C1" s="14" t="str">
        <x:v>ambiguous_rejects</x:v>
      </x:c>
      <x:c r="D1" s="14" t="str">
        <x:v>minimum_gold_required</x:v>
      </x:c>
      <x:c r="E1" s="14" t="str">
        <x:v>direct_waveform_claim_allowed</x:v>
      </x:c>
      <x:c r="F1" s="14" t="str">
        <x:v>language</x:v>
      </x:c>
      <x:c r="G1" s="14" t="str">
        <x:v>gate_level</x:v>
      </x:c>
      <x:c r="H1" s="14" t="str">
        <x:v>minute_level_fallback_available</x:v>
      </x:c>
      <x:c r="I1" s="14" t="str">
        <x:v>direct_waveform_linkage_completed</x:v>
      </x:c>
      <x:c r="J1" s="14" t="str">
        <x:v>claim_boundary</x:v>
      </x:c>
    </x:row>
    <x:row r="2">
      <x:c r="A2" s="16" t="n">
        <x:v>0</x:v>
      </x:c>
      <x:c r="B2" s="16" t="n">
        <x:v>0</x:v>
      </x:c>
      <x:c r="C2" s="16" t="n">
        <x:v>0</x:v>
      </x:c>
      <x:c r="D2" s="16" t="n">
        <x:v>1000</x:v>
      </x:c>
      <x:c r="E2" s="28" t="b">
        <x:v>0</x:v>
      </x:c>
      <x:c r="F2" s="8" t="str">
        <x:v>No direct waveform claim; MoVeR may be described only as a gate-failed waveform audit or limited fallback.</x:v>
      </x:c>
      <x:c r="G2" s="8" t="str">
        <x:v>G2 minute-level fallback available</x:v>
      </x:c>
      <x:c r="H2" s="28" t="b">
        <x:v>1</x:v>
      </x:c>
      <x:c r="I2" s="28" t="b">
        <x:v>0</x:v>
      </x:c>
      <x:c r="J2" s="8" t="str">
        <x:v>MoVeR is optional and gate-controlled; no direct waveform claim is generated in the current analysis.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3" hidden="0" customWidth="1"/>
    <x:col min="3" max="3" width="15" hidden="0" customWidth="1"/>
    <x:col min="4" max="4" width="10" hidden="0" customWidth="1"/>
    <x:col min="5" max="5" width="21" hidden="0" customWidth="1"/>
    <x:col min="6" max="6" width="20" hidden="0" customWidth="1"/>
    <x:col min="7" max="7" width="18" hidden="0" customWidth="1"/>
    <x:col min="8" max="8" width="20" hidden="0" customWidth="1"/>
    <x:col min="9" max="9" width="21" hidden="0" customWidth="1"/>
    <x:col min="10" max="10" width="34" hidden="0" customWidth="1"/>
  </x:cols>
  <x:sheetData>
    <x:row r="1" ht="32" customHeight="1">
      <x:c r="A1" s="14" t="str">
        <x:v>art_map_stratum</x:v>
      </x:c>
      <x:c r="B1" s="14" t="str">
        <x:v>conditioning_variable</x:v>
      </x:c>
      <x:c r="C1" s="14" t="str">
        <x:v>paired_events</x:v>
      </x:c>
      <x:c r="D1" s="14" t="str">
        <x:v>cases</x:v>
      </x:c>
      <x:c r="E1" s="14" t="str">
        <x:v>mean_bias</x:v>
      </x:c>
      <x:c r="F1" s="14" t="str">
        <x:v>sd_bias</x:v>
      </x:c>
      <x:c r="G1" s="14" t="str">
        <x:v>median_abs_error</x:v>
      </x:c>
      <x:c r="H1" s="14" t="str">
        <x:v>mean_bias_ci_low</x:v>
      </x:c>
      <x:c r="I1" s="14" t="str">
        <x:v>mean_bias_ci_high</x:v>
      </x:c>
      <x:c r="J1" s="14" t="str">
        <x:v>interpretation</x:v>
      </x:c>
    </x:row>
    <x:row r="2">
      <x:c r="A2" s="8" t="str">
        <x:v>&lt;55</x:v>
      </x:c>
      <x:c r="B2" s="8" t="str">
        <x:v>art_map_ref</x:v>
      </x:c>
      <x:c r="C2" s="16" t="n">
        <x:v>162</x:v>
      </x:c>
      <x:c r="D2" s="16" t="n">
        <x:v>83</x:v>
      </x:c>
      <x:c r="E2" s="18" t="n">
        <x:v>29.59722222222222</x:v>
      </x:c>
      <x:c r="F2" s="18" t="n">
        <x:v>26.871029245879644</x:v>
      </x:c>
      <x:c r="G2" s="18" t="n">
        <x:v>22.75</x:v>
      </x:c>
      <x:c r="H2" s="18" t="n">
        <x:v>23.289728033042906</x:v>
      </x:c>
      <x:c r="I2" s="18" t="n">
        <x:v>35.85174224705475</x:v>
      </x:c>
      <x:c r="J2" s="8" t="str">
        <x:v>conditional paired difference; not calibration bias</x:v>
      </x:c>
    </x:row>
    <x:row r="3">
      <x:c r="A3" s="8" t="str">
        <x:v>55-60</x:v>
      </x:c>
      <x:c r="B3" s="8" t="str">
        <x:v>art_map_ref</x:v>
      </x:c>
      <x:c r="C3" s="16" t="n">
        <x:v>235</x:v>
      </x:c>
      <x:c r="D3" s="16" t="n">
        <x:v>112</x:v>
      </x:c>
      <x:c r="E3" s="18" t="n">
        <x:v>16.32127659574468</x:v>
      </x:c>
      <x:c r="F3" s="18" t="n">
        <x:v>18.26433620463162</x:v>
      </x:c>
      <x:c r="G3" s="18" t="n">
        <x:v>11</x:v>
      </x:c>
      <x:c r="H3" s="18" t="n">
        <x:v>13.268073303701646</x:v>
      </x:c>
      <x:c r="I3" s="18" t="n">
        <x:v>19.037719011506276</x:v>
      </x:c>
      <x:c r="J3" s="8" t="str">
        <x:v>conditional paired difference; not calibration bias</x:v>
      </x:c>
    </x:row>
    <x:row r="4">
      <x:c r="A4" s="8" t="str">
        <x:v>60-65</x:v>
      </x:c>
      <x:c r="B4" s="8" t="str">
        <x:v>art_map_ref</x:v>
      </x:c>
      <x:c r="C4" s="16" t="n">
        <x:v>601</x:v>
      </x:c>
      <x:c r="D4" s="16" t="n">
        <x:v>187</x:v>
      </x:c>
      <x:c r="E4" s="18" t="n">
        <x:v>10.9346921797005</x:v>
      </x:c>
      <x:c r="F4" s="18" t="n">
        <x:v>16.38411319785385</x:v>
      </x:c>
      <x:c r="G4" s="18" t="n">
        <x:v>9</x:v>
      </x:c>
      <x:c r="H4" s="18" t="n">
        <x:v>8.971296106026275</x:v>
      </x:c>
      <x:c r="I4" s="18" t="n">
        <x:v>13.076002813658423</x:v>
      </x:c>
      <x:c r="J4" s="8" t="str">
        <x:v>conditional paired difference; not calibration bias</x:v>
      </x:c>
    </x:row>
    <x:row r="5">
      <x:c r="A5" s="8" t="str">
        <x:v>65-75</x:v>
      </x:c>
      <x:c r="B5" s="8" t="str">
        <x:v>art_map_ref</x:v>
      </x:c>
      <x:c r="C5" s="16" t="n">
        <x:v>2396</x:v>
      </x:c>
      <x:c r="D5" s="16" t="n">
        <x:v>287</x:v>
      </x:c>
      <x:c r="E5" s="18" t="n">
        <x:v>5.236748747913189</x:v>
      </x:c>
      <x:c r="F5" s="18" t="n">
        <x:v>14.069821296088328</x:v>
      </x:c>
      <x:c r="G5" s="18" t="n">
        <x:v>8</x:v>
      </x:c>
      <x:c r="H5" s="18" t="n">
        <x:v>3.970295798126845</x:v>
      </x:c>
      <x:c r="I5" s="18" t="n">
        <x:v>6.582846739156451</x:v>
      </x:c>
      <x:c r="J5" s="8" t="str">
        <x:v>conditional paired difference; not calibration bias</x:v>
      </x:c>
    </x:row>
    <x:row r="6">
      <x:c r="A6" s="8" t="str">
        <x:v>&gt;=75</x:v>
      </x:c>
      <x:c r="B6" s="8" t="str">
        <x:v>art_map_ref</x:v>
      </x:c>
      <x:c r="C6" s="16" t="n">
        <x:v>7481</x:v>
      </x:c>
      <x:c r="D6" s="16" t="n">
        <x:v>343</x:v>
      </x:c>
      <x:c r="E6" s="18" t="n">
        <x:v>-3.5698436037962837</x:v>
      </x:c>
      <x:c r="F6" s="18" t="n">
        <x:v>16.376434834133054</x:v>
      </x:c>
      <x:c r="G6" s="18" t="n">
        <x:v>9</x:v>
      </x:c>
      <x:c r="H6" s="18" t="n">
        <x:v>-4.674151427624949</x:v>
      </x:c>
      <x:c r="I6" s="18" t="n">
        <x:v>-2.4759114507189928</x:v>
      </x:c>
      <x:c r="J6" s="8" t="str">
        <x:v>conditional paired difference; not calibration bias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26" hidden="0" customWidth="1"/>
    <x:col min="4" max="4" width="20" hidden="0" customWidth="1"/>
    <x:col min="5" max="5" width="20" hidden="0" customWidth="1"/>
    <x:col min="6" max="6" width="19" hidden="0" customWidth="1"/>
    <x:col min="7" max="7" width="18" hidden="0" customWidth="1"/>
  </x:cols>
  <x:sheetData>
    <x:row r="1" ht="32" customHeight="1">
      <x:c r="A1" s="14" t="str">
        <x:v>paired_events</x:v>
      </x:c>
      <x:c r="B1" s="14" t="str">
        <x:v>case_clusters</x:v>
      </x:c>
      <x:c r="C1" s="14" t="str">
        <x:v>mean_bias_nibp_minus_art</x:v>
      </x:c>
      <x:c r="D1" s="14" t="str">
        <x:v>sd_bias</x:v>
      </x:c>
      <x:c r="E1" s="14" t="str">
        <x:v>loa_low</x:v>
      </x:c>
      <x:c r="F1" s="14" t="str">
        <x:v>loa_high</x:v>
      </x:c>
      <x:c r="G1" s="14" t="str">
        <x:v>median_abs_error</x:v>
      </x:c>
    </x:row>
    <x:row r="2">
      <x:c r="A2" s="16" t="n">
        <x:v>10875</x:v>
      </x:c>
      <x:c r="B2" s="16" t="n">
        <x:v>347</x:v>
      </x:c>
      <x:c r="C2" s="18" t="n">
        <x:v>0.09593103448275862</x:v>
      </x:c>
      <x:c r="D2" s="18" t="n">
        <x:v>17.348744262419352</x:v>
      </x:c>
      <x:c r="E2" s="18" t="n">
        <x:v>-33.90760771985917</x:v>
      </x:c>
      <x:c r="F2" s="18" t="n">
        <x:v>34.09946978882469</x:v>
      </x:c>
      <x:c r="G2" s="16" t="n">
        <x:v>9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0" hidden="0" customWidth="1"/>
    <x:col min="4" max="4" width="22" hidden="0" customWidth="1"/>
    <x:col min="5" max="5" width="34" hidden="0" customWidth="1"/>
  </x:cols>
  <x:sheetData>
    <x:row r="1" ht="32" customHeight="1">
      <x:c r="A1" s="14" t="str">
        <x:v>level</x:v>
      </x:c>
      <x:c r="B1" s="14" t="str">
        <x:v>step</x:v>
      </x:c>
      <x:c r="C1" s="14" t="str">
        <x:v>n</x:v>
      </x:c>
      <x:c r="D1" s="14" t="str">
        <x:v>excluded_from_parent</x:v>
      </x:c>
      <x:c r="E1" s="14" t="str">
        <x:v>definition</x:v>
      </x:c>
    </x:row>
    <x:row r="2">
      <x:c r="A2" s="8" t="str">
        <x:v>case</x:v>
      </x:c>
      <x:c r="B2" s="8" t="str">
        <x:v>nibp_candidate_pool</x:v>
      </x:c>
      <x:c r="C2" s="16" t="n">
        <x:v>2788</x:v>
      </x:c>
      <x:c r="D2" s="16"/>
      <x:c r="E2" s="8" t="str">
        <x:v>eligible anaesthesia-duration cases with arterial and NIBP track availability before arterial-coverage QC</x:v>
      </x:c>
    </x:row>
    <x:row r="3">
      <x:c r="A3" s="8" t="str">
        <x:v>case</x:v>
      </x:c>
      <x:c r="B3" s="8" t="str">
        <x:v>predefined_processed_subset</x:v>
      </x:c>
      <x:c r="C3" s="16" t="n">
        <x:v>500</x:v>
      </x:c>
      <x:c r="D3" s="16" t="n">
        <x:v>2288</x:v>
      </x:c>
      <x:c r="E3" s="8" t="str">
        <x:v>first 500 candidates after ascending case_id ordering; not a random sample</x:v>
      </x:c>
    </x:row>
    <x:row r="4">
      <x:c r="A4" s="8" t="str">
        <x:v>case_exclusion</x:v>
      </x:c>
      <x:c r="B4" s="8" t="str">
        <x:v>no_raw_nibp_records_in_analytic_window</x:v>
      </x:c>
      <x:c r="C4" s="16" t="n">
        <x:v>93</x:v>
      </x:c>
      <x:c r="D4" s="16" t="n">
        <x:v>93</x:v>
      </x:c>
      <x:c r="E4" s="8" t="str">
        <x:v>no readable NIBP rows within the recorded anaesthetic interval</x:v>
      </x:c>
    </x:row>
    <x:row r="5">
      <x:c r="A5" s="8" t="str">
        <x:v>case_exclusion</x:v>
      </x:c>
      <x:c r="B5" s="8" t="str">
        <x:v>no_reconstructed_valid_nibp_event</x:v>
      </x:c>
      <x:c r="C5" s="16" t="n">
        <x:v>0</x:v>
      </x:c>
      <x:c r="D5" s="16" t="n">
        <x:v>0</x:v>
      </x:c>
      <x:c r="E5" s="8" t="str">
        <x:v>raw rows present but no event remained after range and de-duplication rules</x:v>
      </x:c>
    </x:row>
    <x:row r="6">
      <x:c r="A6" s="8" t="str">
        <x:v>case_exclusion</x:v>
      </x:c>
      <x:c r="B6" s="8" t="str">
        <x:v>arterial_coverage_below_80pct</x:v>
      </x:c>
      <x:c r="C6" s="16" t="n">
        <x:v>42</x:v>
      </x:c>
      <x:c r="D6" s="16" t="n">
        <x:v>42</x:v>
      </x:c>
      <x:c r="E6" s="8" t="str">
        <x:v>NIBP events present but case absent from the primary arterial-series cohort</x:v>
      </x:c>
    </x:row>
    <x:row r="7">
      <x:c r="A7" s="8" t="str">
        <x:v>case</x:v>
      </x:c>
      <x:c r="B7" s="8" t="str">
        <x:v>mechanism_subset</x:v>
      </x:c>
      <x:c r="C7" s="16" t="n">
        <x:v>365</x:v>
      </x:c>
      <x:c r="D7" s="16" t="n">
        <x:v>135</x:v>
      </x:c>
      <x:c r="E7" s="8" t="str">
        <x:v>reconstructed NIBP events plus primary arterial-series coverage</x:v>
      </x:c>
    </x:row>
    <x:row r="8">
      <x:c r="A8" s="8" t="str">
        <x:v>case</x:v>
      </x:c>
      <x:c r="B8" s="8" t="str">
        <x:v>paired_agreement_cases</x:v>
      </x:c>
      <x:c r="C8" s="16" t="n">
        <x:v>347</x:v>
      </x:c>
      <x:c r="D8" s="16" t="n">
        <x:v>18</x:v>
      </x:c>
      <x:c r="E8" s="8" t="str">
        <x:v>at least one event paired to the -30 to +30 s arterial-window median</x:v>
      </x:c>
    </x:row>
    <x:row r="9">
      <x:c r="A9" s="8" t="str">
        <x:v>case</x:v>
      </x:c>
      <x:c r="B9" s="8" t="str">
        <x:v>timing_only_without_paired_agreement</x:v>
      </x:c>
      <x:c r="C9" s="16" t="n">
        <x:v>18</x:v>
      </x:c>
      <x:c r="D9" s="16" t="n">
        <x:v>0</x:v>
      </x:c>
      <x:c r="E9" s="8" t="str">
        <x:v>contributed display timing trajectories but no event met pairing coverage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3" hidden="0" customWidth="1"/>
    <x:col min="4" max="4" width="19" hidden="0" customWidth="1"/>
    <x:col min="5" max="5" width="16" hidden="0" customWidth="1"/>
    <x:col min="6" max="6" width="26" hidden="0" customWidth="1"/>
    <x:col min="7" max="7" width="24" hidden="0" customWidth="1"/>
  </x:cols>
  <x:sheetData>
    <x:row r="1" ht="32" customHeight="1">
      <x:c r="A1" s="14" t="str">
        <x:v>candidate_art_nibp_cases</x:v>
      </x:c>
      <x:c r="B1" s="14" t="str">
        <x:v>sampled_cases</x:v>
      </x:c>
      <x:c r="C1" s="14" t="str">
        <x:v>raw_records</x:v>
      </x:c>
      <x:c r="D1" s="14" t="str">
        <x:v>candidate_records</x:v>
      </x:c>
      <x:c r="E1" s="14" t="str">
        <x:v>display_events</x:v>
      </x:c>
      <x:c r="F1" s="14" t="str">
        <x:v>candidate_retention_rate</x:v>
      </x:c>
      <x:c r="G1" s="14" t="str">
        <x:v>display_retention_rate</x:v>
      </x:c>
    </x:row>
    <x:row r="2">
      <x:c r="A2" s="16" t="n">
        <x:v>2788</x:v>
      </x:c>
      <x:c r="B2" s="16" t="n">
        <x:v>500</x:v>
      </x:c>
      <x:c r="C2" s="16" t="n">
        <x:v>793671</x:v>
      </x:c>
      <x:c r="D2" s="16" t="n">
        <x:v>793336</x:v>
      </x:c>
      <x:c r="E2" s="16" t="n">
        <x:v>15950</x:v>
      </x:c>
      <x:c r="F2" s="18" t="n">
        <x:v>0.9995779107463924</x:v>
      </x:c>
      <x:c r="G2" s="18" t="n">
        <x:v>0.020096488343406778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3" hidden="0" customWidth="1"/>
    <x:col min="3" max="3" width="16" hidden="0" customWidth="1"/>
    <x:col min="4" max="4" width="24" hidden="0" customWidth="1"/>
    <x:col min="5" max="5" width="10" hidden="0" customWidth="1"/>
  </x:cols>
  <x:sheetData>
    <x:row r="1" ht="32" customHeight="1">
      <x:c r="A1" s="14" t="str">
        <x:v>same_value_hold_sec</x:v>
      </x:c>
      <x:c r="B1" s="14" t="str">
        <x:v>min_gap_new_event_sec</x:v>
      </x:c>
      <x:c r="C1" s="14" t="str">
        <x:v>display_events</x:v>
      </x:c>
      <x:c r="D1" s="14" t="str">
        <x:v>display_retention_rate</x:v>
      </x:c>
      <x:c r="E1" s="14" t="str">
        <x:v>setting</x:v>
      </x:c>
    </x:row>
    <x:row r="2">
      <x:c r="A2" s="16" t="n">
        <x:v>60</x:v>
      </x:c>
      <x:c r="B2" s="16" t="n">
        <x:v>60</x:v>
      </x:c>
      <x:c r="C2" s="16" t="n">
        <x:v>29126</x:v>
      </x:c>
      <x:c r="D2" s="18" t="n">
        <x:v>0.03669782567335836</x:v>
      </x:c>
      <x:c r="E2" s="8" t="str">
        <x:v>strict</x:v>
      </x:c>
    </x:row>
    <x:row r="3">
      <x:c r="A3" s="16" t="n">
        <x:v>60</x:v>
      </x:c>
      <x:c r="B3" s="16" t="n">
        <x:v>120</x:v>
      </x:c>
      <x:c r="C3" s="16" t="n">
        <x:v>15950</x:v>
      </x:c>
      <x:c r="D3" s="18" t="n">
        <x:v>0.020096488343406778</x:v>
      </x:c>
      <x:c r="E3" s="8" t="str">
        <x:v>grid</x:v>
      </x:c>
    </x:row>
    <x:row r="4">
      <x:c r="A4" s="16" t="n">
        <x:v>60</x:v>
      </x:c>
      <x:c r="B4" s="16" t="n">
        <x:v>180</x:v>
      </x:c>
      <x:c r="C4" s="16" t="n">
        <x:v>10886</x:v>
      </x:c>
      <x:c r="D4" s="18" t="n">
        <x:v>0.013716010790365277</x:v>
      </x:c>
      <x:c r="E4" s="8" t="str">
        <x:v>grid</x:v>
      </x:c>
    </x:row>
    <x:row r="5">
      <x:c r="A5" s="16" t="n">
        <x:v>60</x:v>
      </x:c>
      <x:c r="B5" s="16" t="n">
        <x:v>300</x:v>
      </x:c>
      <x:c r="C5" s="16" t="n">
        <x:v>7813</x:v>
      </x:c>
      <x:c r="D5" s="18" t="n">
        <x:v>0.009844129368466278</x:v>
      </x:c>
      <x:c r="E5" s="8" t="str">
        <x:v>grid</x:v>
      </x:c>
    </x:row>
    <x:row r="6">
      <x:c r="A6" s="16" t="n">
        <x:v>90</x:v>
      </x:c>
      <x:c r="B6" s="16" t="n">
        <x:v>60</x:v>
      </x:c>
      <x:c r="C6" s="16" t="n">
        <x:v>19478</x:v>
      </x:c>
      <x:c r="D6" s="18" t="n">
        <x:v>0.024541655169459387</x:v>
      </x:c>
      <x:c r="E6" s="8" t="str">
        <x:v>grid</x:v>
      </x:c>
    </x:row>
    <x:row r="7">
      <x:c r="A7" s="16" t="n">
        <x:v>90</x:v>
      </x:c>
      <x:c r="B7" s="16" t="n">
        <x:v>120</x:v>
      </x:c>
      <x:c r="C7" s="16" t="n">
        <x:v>15950</x:v>
      </x:c>
      <x:c r="D7" s="18" t="n">
        <x:v>0.020096488343406778</x:v>
      </x:c>
      <x:c r="E7" s="8" t="str">
        <x:v>primary</x:v>
      </x:c>
    </x:row>
    <x:row r="8">
      <x:c r="A8" s="16" t="n">
        <x:v>90</x:v>
      </x:c>
      <x:c r="B8" s="16" t="n">
        <x:v>180</x:v>
      </x:c>
      <x:c r="C8" s="16" t="n">
        <x:v>10886</x:v>
      </x:c>
      <x:c r="D8" s="18" t="n">
        <x:v>0.013716010790365277</x:v>
      </x:c>
      <x:c r="E8" s="8" t="str">
        <x:v>grid</x:v>
      </x:c>
    </x:row>
    <x:row r="9">
      <x:c r="A9" s="16" t="n">
        <x:v>90</x:v>
      </x:c>
      <x:c r="B9" s="16" t="n">
        <x:v>300</x:v>
      </x:c>
      <x:c r="C9" s="16" t="n">
        <x:v>7813</x:v>
      </x:c>
      <x:c r="D9" s="18" t="n">
        <x:v>0.009844129368466278</x:v>
      </x:c>
      <x:c r="E9" s="8" t="str">
        <x:v>grid</x:v>
      </x:c>
    </x:row>
    <x:row r="10">
      <x:c r="A10" s="16" t="n">
        <x:v>120</x:v>
      </x:c>
      <x:c r="B10" s="16" t="n">
        <x:v>60</x:v>
      </x:c>
      <x:c r="C10" s="16" t="n">
        <x:v>15950</x:v>
      </x:c>
      <x:c r="D10" s="18" t="n">
        <x:v>0.020096488343406778</x:v>
      </x:c>
      <x:c r="E10" s="8" t="str">
        <x:v>grid</x:v>
      </x:c>
    </x:row>
    <x:row r="11">
      <x:c r="A11" s="16" t="n">
        <x:v>120</x:v>
      </x:c>
      <x:c r="B11" s="16" t="n">
        <x:v>120</x:v>
      </x:c>
      <x:c r="C11" s="16" t="n">
        <x:v>15950</x:v>
      </x:c>
      <x:c r="D11" s="18" t="n">
        <x:v>0.020096488343406778</x:v>
      </x:c>
      <x:c r="E11" s="8" t="str">
        <x:v>grid</x:v>
      </x:c>
    </x:row>
    <x:row r="12">
      <x:c r="A12" s="16" t="n">
        <x:v>120</x:v>
      </x:c>
      <x:c r="B12" s="16" t="n">
        <x:v>180</x:v>
      </x:c>
      <x:c r="C12" s="16" t="n">
        <x:v>10886</x:v>
      </x:c>
      <x:c r="D12" s="18" t="n">
        <x:v>0.013716010790365277</x:v>
      </x:c>
      <x:c r="E12" s="8" t="str">
        <x:v>grid</x:v>
      </x:c>
    </x:row>
    <x:row r="13">
      <x:c r="A13" s="16" t="n">
        <x:v>120</x:v>
      </x:c>
      <x:c r="B13" s="16" t="n">
        <x:v>300</x:v>
      </x:c>
      <x:c r="C13" s="16" t="n">
        <x:v>7813</x:v>
      </x:c>
      <x:c r="D13" s="18" t="n">
        <x:v>0.009844129368466278</x:v>
      </x:c>
      <x:c r="E13" s="8" t="str">
        <x:v>grid</x:v>
      </x:c>
    </x:row>
    <x:row r="14">
      <x:c r="A14" s="16" t="n">
        <x:v>180</x:v>
      </x:c>
      <x:c r="B14" s="16" t="n">
        <x:v>60</x:v>
      </x:c>
      <x:c r="C14" s="16" t="n">
        <x:v>10886</x:v>
      </x:c>
      <x:c r="D14" s="18" t="n">
        <x:v>0.013716010790365277</x:v>
      </x:c>
      <x:c r="E14" s="8" t="str">
        <x:v>grid</x:v>
      </x:c>
    </x:row>
    <x:row r="15">
      <x:c r="A15" s="16" t="n">
        <x:v>180</x:v>
      </x:c>
      <x:c r="B15" s="16" t="n">
        <x:v>120</x:v>
      </x:c>
      <x:c r="C15" s="16" t="n">
        <x:v>10886</x:v>
      </x:c>
      <x:c r="D15" s="18" t="n">
        <x:v>0.013716010790365277</x:v>
      </x:c>
      <x:c r="E15" s="8" t="str">
        <x:v>grid</x:v>
      </x:c>
    </x:row>
    <x:row r="16">
      <x:c r="A16" s="16" t="n">
        <x:v>180</x:v>
      </x:c>
      <x:c r="B16" s="16" t="n">
        <x:v>180</x:v>
      </x:c>
      <x:c r="C16" s="16" t="n">
        <x:v>10886</x:v>
      </x:c>
      <x:c r="D16" s="18" t="n">
        <x:v>0.013716010790365277</x:v>
      </x:c>
      <x:c r="E16" s="8" t="str">
        <x:v>grid</x:v>
      </x:c>
    </x:row>
    <x:row r="17">
      <x:c r="A17" s="16" t="n">
        <x:v>180</x:v>
      </x:c>
      <x:c r="B17" s="16" t="n">
        <x:v>300</x:v>
      </x:c>
      <x:c r="C17" s="16" t="n">
        <x:v>7813</x:v>
      </x:c>
      <x:c r="D17" s="18" t="n">
        <x:v>0.009844129368466278</x:v>
      </x:c>
      <x:c r="E17" s="8" t="str">
        <x:v>lenient</x:v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3" hidden="0" customWidth="1"/>
    <x:col min="3" max="3" width="16" hidden="0" customWidth="1"/>
    <x:col min="4" max="4" width="24" hidden="0" customWidth="1"/>
    <x:col min="5" max="5" width="10" hidden="0" customWidth="1"/>
  </x:cols>
  <x:sheetData>
    <x:row r="1" ht="32" customHeight="1">
      <x:c r="A1" s="14" t="str">
        <x:v>same_value_hold_sec</x:v>
      </x:c>
      <x:c r="B1" s="14" t="str">
        <x:v>min_gap_new_event_sec</x:v>
      </x:c>
      <x:c r="C1" s="14" t="str">
        <x:v>display_events</x:v>
      </x:c>
      <x:c r="D1" s="14" t="str">
        <x:v>display_retention_rate</x:v>
      </x:c>
      <x:c r="E1" s="14" t="str">
        <x:v>setting</x:v>
      </x:c>
    </x:row>
    <x:row r="2">
      <x:c r="A2" s="16" t="n">
        <x:v>60</x:v>
      </x:c>
      <x:c r="B2" s="16" t="n">
        <x:v>60</x:v>
      </x:c>
      <x:c r="C2" s="16" t="n">
        <x:v>29126</x:v>
      </x:c>
      <x:c r="D2" s="18" t="n">
        <x:v>0.03669782567335836</x:v>
      </x:c>
      <x:c r="E2" s="8" t="str">
        <x:v>strict</x:v>
      </x:c>
    </x:row>
    <x:row r="3">
      <x:c r="A3" s="16" t="n">
        <x:v>60</x:v>
      </x:c>
      <x:c r="B3" s="16" t="n">
        <x:v>120</x:v>
      </x:c>
      <x:c r="C3" s="16" t="n">
        <x:v>15950</x:v>
      </x:c>
      <x:c r="D3" s="18" t="n">
        <x:v>0.020096488343406778</x:v>
      </x:c>
      <x:c r="E3" s="8" t="str">
        <x:v>grid</x:v>
      </x:c>
    </x:row>
    <x:row r="4">
      <x:c r="A4" s="16" t="n">
        <x:v>60</x:v>
      </x:c>
      <x:c r="B4" s="16" t="n">
        <x:v>180</x:v>
      </x:c>
      <x:c r="C4" s="16" t="n">
        <x:v>10886</x:v>
      </x:c>
      <x:c r="D4" s="18" t="n">
        <x:v>0.013716010790365277</x:v>
      </x:c>
      <x:c r="E4" s="8" t="str">
        <x:v>grid</x:v>
      </x:c>
    </x:row>
    <x:row r="5">
      <x:c r="A5" s="16" t="n">
        <x:v>60</x:v>
      </x:c>
      <x:c r="B5" s="16" t="n">
        <x:v>300</x:v>
      </x:c>
      <x:c r="C5" s="16" t="n">
        <x:v>7813</x:v>
      </x:c>
      <x:c r="D5" s="18" t="n">
        <x:v>0.009844129368466278</x:v>
      </x:c>
      <x:c r="E5" s="8" t="str">
        <x:v>grid</x:v>
      </x:c>
    </x:row>
    <x:row r="6">
      <x:c r="A6" s="16" t="n">
        <x:v>90</x:v>
      </x:c>
      <x:c r="B6" s="16" t="n">
        <x:v>60</x:v>
      </x:c>
      <x:c r="C6" s="16" t="n">
        <x:v>19478</x:v>
      </x:c>
      <x:c r="D6" s="18" t="n">
        <x:v>0.024541655169459387</x:v>
      </x:c>
      <x:c r="E6" s="8" t="str">
        <x:v>grid</x:v>
      </x:c>
    </x:row>
    <x:row r="7">
      <x:c r="A7" s="16" t="n">
        <x:v>90</x:v>
      </x:c>
      <x:c r="B7" s="16" t="n">
        <x:v>120</x:v>
      </x:c>
      <x:c r="C7" s="16" t="n">
        <x:v>15950</x:v>
      </x:c>
      <x:c r="D7" s="18" t="n">
        <x:v>0.020096488343406778</x:v>
      </x:c>
      <x:c r="E7" s="8" t="str">
        <x:v>primary</x:v>
      </x:c>
    </x:row>
    <x:row r="8">
      <x:c r="A8" s="16" t="n">
        <x:v>90</x:v>
      </x:c>
      <x:c r="B8" s="16" t="n">
        <x:v>180</x:v>
      </x:c>
      <x:c r="C8" s="16" t="n">
        <x:v>10886</x:v>
      </x:c>
      <x:c r="D8" s="18" t="n">
        <x:v>0.013716010790365277</x:v>
      </x:c>
      <x:c r="E8" s="8" t="str">
        <x:v>grid</x:v>
      </x:c>
    </x:row>
    <x:row r="9">
      <x:c r="A9" s="16" t="n">
        <x:v>90</x:v>
      </x:c>
      <x:c r="B9" s="16" t="n">
        <x:v>300</x:v>
      </x:c>
      <x:c r="C9" s="16" t="n">
        <x:v>7813</x:v>
      </x:c>
      <x:c r="D9" s="18" t="n">
        <x:v>0.009844129368466278</x:v>
      </x:c>
      <x:c r="E9" s="8" t="str">
        <x:v>grid</x:v>
      </x:c>
    </x:row>
    <x:row r="10">
      <x:c r="A10" s="16" t="n">
        <x:v>120</x:v>
      </x:c>
      <x:c r="B10" s="16" t="n">
        <x:v>60</x:v>
      </x:c>
      <x:c r="C10" s="16" t="n">
        <x:v>15950</x:v>
      </x:c>
      <x:c r="D10" s="18" t="n">
        <x:v>0.020096488343406778</x:v>
      </x:c>
      <x:c r="E10" s="8" t="str">
        <x:v>grid</x:v>
      </x:c>
    </x:row>
    <x:row r="11">
      <x:c r="A11" s="16" t="n">
        <x:v>120</x:v>
      </x:c>
      <x:c r="B11" s="16" t="n">
        <x:v>120</x:v>
      </x:c>
      <x:c r="C11" s="16" t="n">
        <x:v>15950</x:v>
      </x:c>
      <x:c r="D11" s="18" t="n">
        <x:v>0.020096488343406778</x:v>
      </x:c>
      <x:c r="E11" s="8" t="str">
        <x:v>grid</x:v>
      </x:c>
    </x:row>
    <x:row r="12">
      <x:c r="A12" s="16" t="n">
        <x:v>120</x:v>
      </x:c>
      <x:c r="B12" s="16" t="n">
        <x:v>180</x:v>
      </x:c>
      <x:c r="C12" s="16" t="n">
        <x:v>10886</x:v>
      </x:c>
      <x:c r="D12" s="18" t="n">
        <x:v>0.013716010790365277</x:v>
      </x:c>
      <x:c r="E12" s="8" t="str">
        <x:v>grid</x:v>
      </x:c>
    </x:row>
    <x:row r="13">
      <x:c r="A13" s="16" t="n">
        <x:v>120</x:v>
      </x:c>
      <x:c r="B13" s="16" t="n">
        <x:v>300</x:v>
      </x:c>
      <x:c r="C13" s="16" t="n">
        <x:v>7813</x:v>
      </x:c>
      <x:c r="D13" s="18" t="n">
        <x:v>0.009844129368466278</x:v>
      </x:c>
      <x:c r="E13" s="8" t="str">
        <x:v>grid</x:v>
      </x:c>
    </x:row>
    <x:row r="14">
      <x:c r="A14" s="16" t="n">
        <x:v>180</x:v>
      </x:c>
      <x:c r="B14" s="16" t="n">
        <x:v>60</x:v>
      </x:c>
      <x:c r="C14" s="16" t="n">
        <x:v>10886</x:v>
      </x:c>
      <x:c r="D14" s="18" t="n">
        <x:v>0.013716010790365277</x:v>
      </x:c>
      <x:c r="E14" s="8" t="str">
        <x:v>grid</x:v>
      </x:c>
    </x:row>
    <x:row r="15">
      <x:c r="A15" s="16" t="n">
        <x:v>180</x:v>
      </x:c>
      <x:c r="B15" s="16" t="n">
        <x:v>120</x:v>
      </x:c>
      <x:c r="C15" s="16" t="n">
        <x:v>10886</x:v>
      </x:c>
      <x:c r="D15" s="18" t="n">
        <x:v>0.013716010790365277</x:v>
      </x:c>
      <x:c r="E15" s="8" t="str">
        <x:v>grid</x:v>
      </x:c>
    </x:row>
    <x:row r="16">
      <x:c r="A16" s="16" t="n">
        <x:v>180</x:v>
      </x:c>
      <x:c r="B16" s="16" t="n">
        <x:v>180</x:v>
      </x:c>
      <x:c r="C16" s="16" t="n">
        <x:v>10886</x:v>
      </x:c>
      <x:c r="D16" s="18" t="n">
        <x:v>0.013716010790365277</x:v>
      </x:c>
      <x:c r="E16" s="8" t="str">
        <x:v>grid</x:v>
      </x:c>
    </x:row>
    <x:row r="17">
      <x:c r="A17" s="16" t="n">
        <x:v>180</x:v>
      </x:c>
      <x:c r="B17" s="16" t="n">
        <x:v>300</x:v>
      </x:c>
      <x:c r="C17" s="16" t="n">
        <x:v>7813</x:v>
      </x:c>
      <x:c r="D17" s="18" t="n">
        <x:v>0.009844129368466278</x:v>
      </x:c>
      <x:c r="E17" s="8" t="str">
        <x:v>lenient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3" hidden="0" customWidth="1"/>
    <x:col min="4" max="4" width="19" hidden="0" customWidth="1"/>
    <x:col min="5" max="5" width="16" hidden="0" customWidth="1"/>
    <x:col min="6" max="6" width="26" hidden="0" customWidth="1"/>
    <x:col min="7" max="7" width="24" hidden="0" customWidth="1"/>
  </x:cols>
  <x:sheetData>
    <x:row r="1" ht="32" customHeight="1">
      <x:c r="A1" s="14" t="str">
        <x:v>candidate_art_nibp_cases</x:v>
      </x:c>
      <x:c r="B1" s="14" t="str">
        <x:v>sampled_cases</x:v>
      </x:c>
      <x:c r="C1" s="14" t="str">
        <x:v>raw_records</x:v>
      </x:c>
      <x:c r="D1" s="14" t="str">
        <x:v>candidate_records</x:v>
      </x:c>
      <x:c r="E1" s="14" t="str">
        <x:v>display_events</x:v>
      </x:c>
      <x:c r="F1" s="14" t="str">
        <x:v>candidate_retention_rate</x:v>
      </x:c>
      <x:c r="G1" s="14" t="str">
        <x:v>display_retention_rate</x:v>
      </x:c>
    </x:row>
    <x:row r="2">
      <x:c r="A2" s="16" t="n">
        <x:v>2788</x:v>
      </x:c>
      <x:c r="B2" s="16" t="n">
        <x:v>500</x:v>
      </x:c>
      <x:c r="C2" s="16" t="n">
        <x:v>793671</x:v>
      </x:c>
      <x:c r="D2" s="16" t="n">
        <x:v>793336</x:v>
      </x:c>
      <x:c r="E2" s="16" t="n">
        <x:v>15950</x:v>
      </x:c>
      <x:c r="F2" s="18" t="n">
        <x:v>0.9995779107463924</x:v>
      </x:c>
      <x:c r="G2" s="18" t="n">
        <x:v>0.020096488343406778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30" hidden="0" customWidth="1"/>
    <x:col min="4" max="4" width="11" hidden="0" customWidth="1"/>
    <x:col min="5" max="5" width="10" hidden="0" customWidth="1"/>
    <x:col min="6" max="6" width="20" hidden="0" customWidth="1"/>
    <x:col min="7" max="7" width="20" hidden="0" customWidth="1"/>
    <x:col min="8" max="8" width="20" hidden="0" customWidth="1"/>
    <x:col min="9" max="9" width="23" hidden="0" customWidth="1"/>
    <x:col min="10" max="10" width="34" hidden="0" customWidth="1"/>
    <x:col min="11" max="11" width="32" hidden="0" customWidth="1"/>
    <x:col min="12" max="12" width="30" hidden="0" customWidth="1"/>
    <x:col min="13" max="13" width="20" hidden="0" customWidth="1"/>
    <x:col min="14" max="14" width="21" hidden="0" customWidth="1"/>
    <x:col min="15" max="15" width="21" hidden="0" customWidth="1"/>
    <x:col min="16" max="16" width="27" hidden="0" customWidth="1"/>
    <x:col min="17" max="17" width="30" hidden="0" customWidth="1"/>
    <x:col min="18" max="18" width="20" hidden="0" customWidth="1"/>
    <x:col min="19" max="19" width="21" hidden="0" customWidth="1"/>
    <x:col min="20" max="20" width="30" hidden="0" customWidth="1"/>
    <x:col min="21" max="21" width="34" hidden="0" customWidth="1"/>
    <x:col min="22" max="22" width="10" hidden="0" customWidth="1"/>
    <x:col min="23" max="23" width="10" hidden="0" customWidth="1"/>
    <x:col min="24" max="24" width="18" hidden="0" customWidth="1"/>
    <x:col min="25" max="25" width="10" hidden="0" customWidth="1"/>
    <x:col min="26" max="26" width="18" hidden="0" customWidth="1"/>
    <x:col min="27" max="27" width="29" hidden="0" customWidth="1"/>
    <x:col min="28" max="28" width="27" hidden="0" customWidth="1"/>
    <x:col min="29" max="29" width="27" hidden="0" customWidth="1"/>
    <x:col min="30" max="30" width="20" hidden="0" customWidth="1"/>
    <x:col min="31" max="31" width="20" hidden="0" customWidth="1"/>
    <x:col min="32" max="32" width="21" hidden="0" customWidth="1"/>
    <x:col min="33" max="33" width="21" hidden="0" customWidth="1"/>
    <x:col min="34" max="34" width="22" hidden="0" customWidth="1"/>
    <x:col min="35" max="35" width="22" hidden="0" customWidth="1"/>
    <x:col min="36" max="36" width="34" hidden="0" customWidth="1"/>
    <x:col min="37" max="37" width="34" hidden="0" customWidth="1"/>
    <x:col min="38" max="38" width="34" hidden="0" customWidth="1"/>
    <x:col min="39" max="39" width="34" hidden="0" customWidth="1"/>
    <x:col min="40" max="40" width="26" hidden="0" customWidth="1"/>
    <x:col min="41" max="41" width="27" hidden="0" customWidth="1"/>
    <x:col min="42" max="42" width="26" hidden="0" customWidth="1"/>
    <x:col min="43" max="43" width="27" hidden="0" customWidth="1"/>
    <x:col min="44" max="44" width="34" hidden="0" customWidth="1"/>
    <x:col min="45" max="45" width="34" hidden="0" customWidth="1"/>
    <x:col min="46" max="46" width="34" hidden="0" customWidth="1"/>
    <x:col min="47" max="47" width="34" hidden="0" customWidth="1"/>
    <x:col min="48" max="48" width="34" hidden="0" customWidth="1"/>
    <x:col min="49" max="49" width="34" hidden="0" customWidth="1"/>
  </x:cols>
  <x:sheetData>
    <x:row r="1" ht="32" customHeight="1">
      <x:c r="A1" s="14" t="str">
        <x:v>horizon_rule</x:v>
      </x:c>
      <x:c r="B1" s="14" t="str">
        <x:v>display_validity_sec</x:v>
      </x:c>
      <x:c r="C1" s="14" t="str">
        <x:v>mechanism</x:v>
      </x:c>
      <x:c r="D1" s="14" t="str">
        <x:v>threshold</x:v>
      </x:c>
      <x:c r="E1" s="14" t="str">
        <x:v>n_cases</x:v>
      </x:c>
      <x:c r="F1" s="14" t="str">
        <x:v>true_auc_total</x:v>
      </x:c>
      <x:c r="G1" s="14" t="str">
        <x:v>display_auc_total</x:v>
      </x:c>
      <x:c r="H1" s="14" t="str">
        <x:v>hidden_auc_total</x:v>
      </x:c>
      <x:c r="I1" s="14" t="str">
        <x:v>overdisplay_auc_total</x:v>
      </x:c>
      <x:c r="J1" s="14" t="str">
        <x:v>hidden_auc_display_unavailable_total</x:v>
      </x:c>
      <x:c r="K1" s="14" t="str">
        <x:v>hidden_auc_display_valid_total</x:v>
      </x:c>
      <x:c r="L1" s="14" t="str">
        <x:v>true_auc_display_valid_total</x:v>
      </x:c>
      <x:c r="M1" s="14" t="str">
        <x:v>HDR</x:v>
      </x:c>
      <x:c r="N1" s="14" t="str">
        <x:v>ODR</x:v>
      </x:c>
      <x:c r="O1" s="14" t="str">
        <x:v>NetBias</x:v>
      </x:c>
      <x:c r="P1" s="14" t="str">
        <x:v>HDR_unavailable_component</x:v>
      </x:c>
      <x:c r="Q1" s="14" t="str">
        <x:v>HDR_valid_mismatch_component</x:v>
      </x:c>
      <x:c r="R1" s="14" t="str">
        <x:v>HDR_display_valid</x:v>
      </x:c>
      <x:c r="S1" s="14" t="str">
        <x:v>ODR_display_valid</x:v>
      </x:c>
      <x:c r="T1" s="14" t="str">
        <x:v>display_unavailable_fraction</x:v>
      </x:c>
      <x:c r="U1" s="14" t="str">
        <x:v>display_unavailable_fraction_all_grid</x:v>
      </x:c>
      <x:c r="V1" s="14" t="str">
        <x:v>tp</x:v>
      </x:c>
      <x:c r="W1" s="14" t="str">
        <x:v>fn_full</x:v>
      </x:c>
      <x:c r="X1" s="14" t="str">
        <x:v>fn_display_valid</x:v>
      </x:c>
      <x:c r="Y1" s="14" t="str">
        <x:v>fp</x:v>
      </x:c>
      <x:c r="Z1" s="14" t="str">
        <x:v>tn_display_valid</x:v>
      </x:c>
      <x:c r="AA1" s="14" t="str">
        <x:v>sensitivity_full_trajectory</x:v>
      </x:c>
      <x:c r="AB1" s="14" t="str">
        <x:v>sensitivity_display_valid</x:v>
      </x:c>
      <x:c r="AC1" s="14" t="str">
        <x:v>specificity_display_valid</x:v>
      </x:c>
      <x:c r="AD1" s="14" t="str">
        <x:v>HDR_ci_low</x:v>
      </x:c>
      <x:c r="AE1" s="14" t="str">
        <x:v>HDR_ci_high</x:v>
      </x:c>
      <x:c r="AF1" s="14" t="str">
        <x:v>ODR_ci_low</x:v>
      </x:c>
      <x:c r="AG1" s="14" t="str">
        <x:v>ODR_ci_high</x:v>
      </x:c>
      <x:c r="AH1" s="14" t="str">
        <x:v>NetBias_ci_low</x:v>
      </x:c>
      <x:c r="AI1" s="14" t="str">
        <x:v>NetBias_ci_high</x:v>
      </x:c>
      <x:c r="AJ1" s="14" t="str">
        <x:v>HDR_unavailable_component_ci_low</x:v>
      </x:c>
      <x:c r="AK1" s="14" t="str">
        <x:v>HDR_unavailable_component_ci_high</x:v>
      </x:c>
      <x:c r="AL1" s="14" t="str">
        <x:v>HDR_valid_mismatch_component_ci_low</x:v>
      </x:c>
      <x:c r="AM1" s="14" t="str">
        <x:v>HDR_valid_mismatch_component_ci_high</x:v>
      </x:c>
      <x:c r="AN1" s="14" t="str">
        <x:v>HDR_display_valid_ci_low</x:v>
      </x:c>
      <x:c r="AO1" s="14" t="str">
        <x:v>HDR_display_valid_ci_high</x:v>
      </x:c>
      <x:c r="AP1" s="14" t="str">
        <x:v>ODR_display_valid_ci_low</x:v>
      </x:c>
      <x:c r="AQ1" s="14" t="str">
        <x:v>ODR_display_valid_ci_high</x:v>
      </x:c>
      <x:c r="AR1" s="14" t="str">
        <x:v>sensitivity_full_trajectory_ci_low</x:v>
      </x:c>
      <x:c r="AS1" s="14" t="str">
        <x:v>sensitivity_full_trajectory_ci_high</x:v>
      </x:c>
      <x:c r="AT1" s="14" t="str">
        <x:v>sensitivity_display_valid_ci_low</x:v>
      </x:c>
      <x:c r="AU1" s="14" t="str">
        <x:v>sensitivity_display_valid_ci_high</x:v>
      </x:c>
      <x:c r="AV1" s="14" t="str">
        <x:v>specificity_display_valid_ci_low</x:v>
      </x:c>
      <x:c r="AW1" s="14" t="str">
        <x:v>specificity_display_valid_ci_high</x:v>
      </x:c>
    </x:row>
    <x:row r="2">
      <x:c r="A2" s="8" t="str">
        <x:v>no_maximum_horizon</x:v>
      </x:c>
      <x:c r="B2" s="16"/>
      <x:c r="C2" s="8" t="str">
        <x:v>actual_nibp_timing_plus_cuff</x:v>
      </x:c>
      <x:c r="D2" s="16" t="n">
        <x:v>55</x:v>
      </x:c>
      <x:c r="E2" s="16" t="n">
        <x:v>365</x:v>
      </x:c>
      <x:c r="F2" s="18" t="n">
        <x:v>10446.666666666666</x:v>
      </x:c>
      <x:c r="G2" s="18" t="n">
        <x:v>6486.166666666666</x:v>
      </x:c>
      <x:c r="H2" s="18" t="n">
        <x:v>10231.583333333332</x:v>
      </x:c>
      <x:c r="I2" s="18" t="n">
        <x:v>6271.083333333333</x:v>
      </x:c>
      <x:c r="J2" s="18" t="n">
        <x:v>112.08333333333333</x:v>
      </x:c>
      <x:c r="K2" s="18" t="n">
        <x:v>10119.5</x:v>
      </x:c>
      <x:c r="L2" s="18" t="n">
        <x:v>10334.583333333332</x:v>
      </x:c>
      <x:c r="M2" s="18" t="n">
        <x:v>0.979411295469049</x:v>
      </x:c>
      <x:c r="N2" s="18" t="n">
        <x:v>0.6002951499680919</x:v>
      </x:c>
      <x:c r="O2" s="18" t="n">
        <x:v>-0.3791161455009573</x:v>
      </x:c>
      <x:c r="P2" s="18" t="n">
        <x:v>0.010729100191448628</x:v>
      </x:c>
      <x:c r="Q2" s="18" t="n">
        <x:v>0.9686821952776006</x:v>
      </x:c>
      <x:c r="R2" s="18" t="n">
        <x:v>0.9791880014514375</x:v>
      </x:c>
      <x:c r="S2" s="18" t="n">
        <x:v>0.6068056283514092</x:v>
      </x:c>
      <x:c r="T2" s="18" t="n">
        <x:v>0.0011514320156295467</x:v>
      </x:c>
      <x:c r="U2" s="18" t="n">
        <x:v>0.009697990477297367</x:v>
      </x:c>
      <x:c r="V2" s="16" t="n">
        <x:v>222</x:v>
      </x:c>
      <x:c r="W2" s="16" t="n">
        <x:v>5949</x:v>
      </x:c>
      <x:c r="X2" s="16" t="n">
        <x:v>5913</x:v>
      </x:c>
      <x:c r="Y2" s="16" t="n">
        <x:v>6497</x:v>
      </x:c>
      <x:c r="Z2" s="16" t="n">
        <x:v>467954</x:v>
      </x:c>
      <x:c r="AA2" s="18" t="n">
        <x:v>0.03597472046669908</x:v>
      </x:c>
      <x:c r="AB2" s="18" t="n">
        <x:v>0.036185819070904644</x:v>
      </x:c>
      <x:c r="AC2" s="18" t="n">
        <x:v>0.9863062782036501</x:v>
      </x:c>
      <x:c r="AD2" s="18" t="n">
        <x:v>0.9589334350764208</x:v>
      </x:c>
      <x:c r="AE2" s="18" t="n">
        <x:v>0.9934030590405474</x:v>
      </x:c>
      <x:c r="AF2" s="18" t="n">
        <x:v>0.2627198271963828</x:v>
      </x:c>
      <x:c r="AG2" s="18" t="n">
        <x:v>1.0367782950565374</x:v>
      </x:c>
      <x:c r="AH2" s="18" t="n">
        <x:v>-0.7142415608516745</x:v>
      </x:c>
      <x:c r="AI2" s="18" t="n">
        <x:v>0.06730876447452411</x:v>
      </x:c>
      <x:c r="AJ2" s="18" t="n">
        <x:v>0.0017671742724250912</x:v>
      </x:c>
      <x:c r="AK2" s="18" t="n">
        <x:v>0.027349999172832193</x:v>
      </x:c>
      <x:c r="AL2" s="18" t="n">
        <x:v>0.9407178629158749</x:v>
      </x:c>
      <x:c r="AM2" s="18" t="n">
        <x:v>0.9899874649951609</x:v>
      </x:c>
      <x:c r="AN2" s="18" t="n">
        <x:v>0.958355944920945</x:v>
      </x:c>
      <x:c r="AO2" s="18" t="n">
        <x:v>0.9933636778937113</x:v>
      </x:c>
      <x:c r="AP2" s="18" t="n">
        <x:v>0.2667176548778054</x:v>
      </x:c>
      <x:c r="AQ2" s="18" t="n">
        <x:v>1.0433381723123096</x:v>
      </x:c>
      <x:c r="AR2" s="18" t="n">
        <x:v>0.01906525737525365</x:v>
      </x:c>
      <x:c r="AS2" s="18" t="n">
        <x:v>0.05674902455699363</x:v>
      </x:c>
      <x:c r="AT2" s="18" t="n">
        <x:v>0.019143006140608636</x:v>
      </x:c>
      <x:c r="AU2" s="18" t="n">
        <x:v>0.05690391894420218</x:v>
      </x:c>
      <x:c r="AV2" s="18" t="n">
        <x:v>0.9793112459661029</x:v>
      </x:c>
      <x:c r="AW2" s="18" t="n">
        <x:v>0.992249603341928</x:v>
      </x:c>
    </x:row>
    <x:row r="3">
      <x:c r="A3" s="8" t="str">
        <x:v>sensitivity_5min_horizon</x:v>
      </x:c>
      <x:c r="B3" s="16" t="n">
        <x:v>300</x:v>
      </x:c>
      <x:c r="C3" s="8" t="str">
        <x:v>actual_nibp_timing_plus_cuff</x:v>
      </x:c>
      <x:c r="D3" s="16" t="n">
        <x:v>55</x:v>
      </x:c>
      <x:c r="E3" s="16" t="n">
        <x:v>365</x:v>
      </x:c>
      <x:c r="F3" s="18" t="n">
        <x:v>10446.666666666666</x:v>
      </x:c>
      <x:c r="G3" s="18" t="n">
        <x:v>2663.5</x:v>
      </x:c>
      <x:c r="H3" s="18" t="n">
        <x:v>10249.666666666666</x:v>
      </x:c>
      <x:c r="I3" s="18" t="n">
        <x:v>2466.5</x:v>
      </x:c>
      <x:c r="J3" s="18" t="n">
        <x:v>4283.25</x:v>
      </x:c>
      <x:c r="K3" s="18" t="n">
        <x:v>5966.416666666666</x:v>
      </x:c>
      <x:c r="L3" s="18" t="n">
        <x:v>6163.416666666666</x:v>
      </x:c>
      <x:c r="M3" s="18" t="n">
        <x:v>0.9811423101467773</x:v>
      </x:c>
      <x:c r="N3" s="18" t="n">
        <x:v>0.236104020421187</x:v>
      </x:c>
      <x:c r="O3" s="18" t="n">
        <x:v>-0.7450382897255903</x:v>
      </x:c>
      <x:c r="P3" s="18" t="n">
        <x:v>0.41001116783663055</x:v>
      </x:c>
      <x:c r="Q3" s="18" t="n">
        <x:v>0.5711311423101467</x:v>
      </x:c>
      <x:c r="R3" s="18" t="n">
        <x:v>0.968037208799232</x:v>
      </x:c>
      <x:c r="S3" s="18" t="n">
        <x:v>0.4001838806938792</x:v>
      </x:c>
      <x:c r="T3" s="18" t="n">
        <x:v>0.681209211456125</x:v>
      </x:c>
      <x:c r="U3" s="18" t="n">
        <x:v>0.6665148775557254</x:v>
      </x:c>
      <x:c r="V3" s="16" t="n">
        <x:v>200</x:v>
      </x:c>
      <x:c r="W3" s="16" t="n">
        <x:v>5971</x:v>
      </x:c>
      <x:c r="X3" s="16" t="n">
        <x:v>2644</x:v>
      </x:c>
      <x:c r="Y3" s="16" t="n">
        <x:v>2485</x:v>
      </x:c>
      <x:c r="Z3" s="16" t="n">
        <x:v>148054</x:v>
      </x:c>
      <x:c r="AA3" s="18" t="n">
        <x:v>0.03240965807810728</x:v>
      </x:c>
      <x:c r="AB3" s="18" t="n">
        <x:v>0.07032348804500703</x:v>
      </x:c>
      <x:c r="AC3" s="18" t="n">
        <x:v>0.9834926497452487</x:v>
      </x:c>
      <x:c r="AD3" s="18" t="n">
        <x:v>0.960983297731516</x:v>
      </x:c>
      <x:c r="AE3" s="18" t="n">
        <x:v>0.9945083497724351</x:v>
      </x:c>
      <x:c r="AF3" s="18" t="n">
        <x:v>0.1287942618528337</x:v>
      </x:c>
      <x:c r="AG3" s="18" t="n">
        <x:v>0.3720228509792426</x:v>
      </x:c>
      <x:c r="AH3" s="18" t="n">
        <x:v>-0.8585199893995021</x:v>
      </x:c>
      <x:c r="AI3" s="18" t="n">
        <x:v>-0.6025191318241508</x:v>
      </x:c>
      <x:c r="AJ3" s="18" t="n">
        <x:v>0.34331549444111226</x:v>
      </x:c>
      <x:c r="AK3" s="18" t="n">
        <x:v>0.47653604993472976</x:v>
      </x:c>
      <x:c r="AL3" s="18" t="n">
        <x:v>0.500527768666181</x:v>
      </x:c>
      <x:c r="AM3" s="18" t="n">
        <x:v>0.6399248103957735</x:v>
      </x:c>
      <x:c r="AN3" s="18" t="n">
        <x:v>0.9329585322363156</x:v>
      </x:c>
      <x:c r="AO3" s="18" t="n">
        <x:v>0.9908800072039524</x:v>
      </x:c>
      <x:c r="AP3" s="18" t="n">
        <x:v>0.21687354582929894</x:v>
      </x:c>
      <x:c r="AQ3" s="18" t="n">
        <x:v>0.6430488431211486</x:v>
      </x:c>
      <x:c r="AR3" s="18" t="n">
        <x:v>0.01571847171879979</x:v>
      </x:c>
      <x:c r="AS3" s="18" t="n">
        <x:v>0.05455312887713292</x:v>
      </x:c>
      <x:c r="AT3" s="18" t="n">
        <x:v>0.0340335272747327</x:v>
      </x:c>
      <x:c r="AU3" s="18" t="n">
        <x:v>0.11739104021413839</x:v>
      </x:c>
      <x:c r="AV3" s="18" t="n">
        <x:v>0.9757927984795927</x:v>
      </x:c>
      <x:c r="AW3" s="18" t="n">
        <x:v>0.9895280468347811</x:v>
      </x:c>
    </x:row>
    <x:row r="4">
      <x:c r="A4" s="8" t="str">
        <x:v>primary_10min_horizon</x:v>
      </x:c>
      <x:c r="B4" s="16" t="n">
        <x:v>600</x:v>
      </x:c>
      <x:c r="C4" s="8" t="str">
        <x:v>actual_nibp_timing_plus_cuff</x:v>
      </x:c>
      <x:c r="D4" s="16" t="n">
        <x:v>55</x:v>
      </x:c>
      <x:c r="E4" s="16" t="n">
        <x:v>365</x:v>
      </x:c>
      <x:c r="F4" s="18" t="n">
        <x:v>10446.666666666666</x:v>
      </x:c>
      <x:c r="G4" s="18" t="n">
        <x:v>3173</x:v>
      </x:c>
      <x:c r="H4" s="18" t="n">
        <x:v>10241.916666666666</x:v>
      </x:c>
      <x:c r="I4" s="18" t="n">
        <x:v>2968.25</x:v>
      </x:c>
      <x:c r="J4" s="18" t="n">
        <x:v>3803</x:v>
      </x:c>
      <x:c r="K4" s="18" t="n">
        <x:v>6438.916666666666</x:v>
      </x:c>
      <x:c r="L4" s="18" t="n">
        <x:v>6643.666666666666</x:v>
      </x:c>
      <x:c r="M4" s="18" t="n">
        <x:v>0.9804004467134653</x:v>
      </x:c>
      <x:c r="N4" s="18" t="n">
        <x:v>0.2841336949585195</x:v>
      </x:c>
      <x:c r="O4" s="18" t="n">
        <x:v>-0.6962667517549458</x:v>
      </x:c>
      <x:c r="P4" s="18" t="n">
        <x:v>0.36403956604977666</x:v>
      </x:c>
      <x:c r="Q4" s="18" t="n">
        <x:v>0.6163608806636885</x:v>
      </x:c>
      <x:c r="R4" s="18" t="n">
        <x:v>0.9691811750539361</x:v>
      </x:c>
      <x:c r="S4" s="18" t="n">
        <x:v>0.44677888716070446</x:v>
      </x:c>
      <x:c r="T4" s="18" t="n">
        <x:v>0.6047823918194288</x:v>
      </x:c>
      <x:c r="U4" s="18" t="n">
        <x:v>0.5926977370720452</x:v>
      </x:c>
      <x:c r="V4" s="16" t="n">
        <x:v>205</x:v>
      </x:c>
      <x:c r="W4" s="16" t="n">
        <x:v>5966</x:v>
      </x:c>
      <x:c r="X4" s="16" t="n">
        <x:v>3013</x:v>
      </x:c>
      <x:c r="Y4" s="16" t="n">
        <x:v>3061</x:v>
      </x:c>
      <x:c r="Z4" s="16" t="n">
        <x:v>183876</x:v>
      </x:c>
      <x:c r="AA4" s="18" t="n">
        <x:v>0.03321989953005996</x:v>
      </x:c>
      <x:c r="AB4" s="18" t="n">
        <x:v>0.0637041640770665</x:v>
      </x:c>
      <x:c r="AC4" s="18" t="n">
        <x:v>0.9836254994998315</x:v>
      </x:c>
      <x:c r="AD4" s="18" t="n">
        <x:v>0.9610659816731982</x:v>
      </x:c>
      <x:c r="AE4" s="18" t="n">
        <x:v>0.9934182065018117</x:v>
      </x:c>
      <x:c r="AF4" s="18" t="n">
        <x:v>0.1579886432269256</x:v>
      </x:c>
      <x:c r="AG4" s="18" t="n">
        <x:v>0.4478669539393623</x:v>
      </x:c>
      <x:c r="AH4" s="18" t="n">
        <x:v>-0.825432118673983</x:v>
      </x:c>
      <x:c r="AI4" s="18" t="n">
        <x:v>-0.5325962130781186</x:v>
      </x:c>
      <x:c r="AJ4" s="18" t="n">
        <x:v>0.304228771839127</x:v>
      </x:c>
      <x:c r="AK4" s="18" t="n">
        <x:v>0.4236367711999107</x:v>
      </x:c>
      <x:c r="AL4" s="18" t="n">
        <x:v>0.5520137703495444</x:v>
      </x:c>
      <x:c r="AM4" s="18" t="n">
        <x:v>0.6823136595753942</x:v>
      </x:c>
      <x:c r="AN4" s="18" t="n">
        <x:v>0.9388255872238036</x:v>
      </x:c>
      <x:c r="AO4" s="18" t="n">
        <x:v>0.989821687111869</x:v>
      </x:c>
      <x:c r="AP4" s="18" t="n">
        <x:v>0.25330665007125863</x:v>
      </x:c>
      <x:c r="AQ4" s="18" t="n">
        <x:v>0.70583031447837</x:v>
      </x:c>
      <x:c r="AR4" s="18" t="n">
        <x:v>0.01770452171437987</x:v>
      </x:c>
      <x:c r="AS4" s="18" t="n">
        <x:v>0.05143906593990434</x:v>
      </x:c>
      <x:c r="AT4" s="18" t="n">
        <x:v>0.03364878248116574</x:v>
      </x:c>
      <x:c r="AU4" s="18" t="n">
        <x:v>0.09915230334807164</x:v>
      </x:c>
      <x:c r="AV4" s="18" t="n">
        <x:v>0.9765154526110957</x:v>
      </x:c>
      <x:c r="AW4" s="18" t="n">
        <x:v>0.9896847084366798</x:v>
      </x:c>
    </x:row>
    <x:row r="5">
      <x:c r="A5" s="8" t="str">
        <x:v>no_maximum_horizon</x:v>
      </x:c>
      <x:c r="B5" s="16"/>
      <x:c r="C5" s="8" t="str">
        <x:v>actual_timing_only</x:v>
      </x:c>
      <x:c r="D5" s="16" t="n">
        <x:v>55</x:v>
      </x:c>
      <x:c r="E5" s="16" t="n">
        <x:v>365</x:v>
      </x:c>
      <x:c r="F5" s="18" t="n">
        <x:v>10446.666666666666</x:v>
      </x:c>
      <x:c r="G5" s="18" t="n">
        <x:v>17310.090716666706</x:v>
      </x:c>
      <x:c r="H5" s="18" t="n">
        <x:v>8339.31</x:v>
      </x:c>
      <x:c r="I5" s="18" t="n">
        <x:v>15202.73405000004</x:v>
      </x:c>
      <x:c r="J5" s="18" t="n">
        <x:v>112.08333333333333</x:v>
      </x:c>
      <x:c r="K5" s="18" t="n">
        <x:v>8227.226666666667</x:v>
      </x:c>
      <x:c r="L5" s="18" t="n">
        <x:v>10334.583333333332</x:v>
      </x:c>
      <x:c r="M5" s="18" t="n">
        <x:v>0.7982747287811104</x:v>
      </x:c>
      <x:c r="N5" s="18" t="n">
        <x:v>1.4552712874920268</x:v>
      </x:c>
      <x:c r="O5" s="18" t="n">
        <x:v>0.6569965587109164</x:v>
      </x:c>
      <x:c r="P5" s="18" t="n">
        <x:v>0.010729100191448628</x:v>
      </x:c>
      <x:c r="Q5" s="18" t="n">
        <x:v>0.7875456285896619</x:v>
      </x:c>
      <x:c r="R5" s="18" t="n">
        <x:v>0.796086924968754</x:v>
      </x:c>
      <x:c r="S5" s="18" t="n">
        <x:v>1.4710543772930733</x:v>
      </x:c>
      <x:c r="T5" s="18" t="n">
        <x:v>0.0011514320156295467</x:v>
      </x:c>
      <x:c r="U5" s="18" t="n">
        <x:v>0.009697990477297367</x:v>
      </x:c>
      <x:c r="V5" s="16" t="n">
        <x:v>1465</x:v>
      </x:c>
      <x:c r="W5" s="16" t="n">
        <x:v>4706</x:v>
      </x:c>
      <x:c r="X5" s="16" t="n">
        <x:v>4670</x:v>
      </x:c>
      <x:c r="Y5" s="16" t="n">
        <x:v>6224</x:v>
      </x:c>
      <x:c r="Z5" s="16" t="n">
        <x:v>468227</x:v>
      </x:c>
      <x:c r="AA5" s="18" t="n">
        <x:v>0.2374007454221358</x:v>
      </x:c>
      <x:c r="AB5" s="18" t="n">
        <x:v>0.23879380603096984</x:v>
      </x:c>
      <x:c r="AC5" s="18" t="n">
        <x:v>0.9868816800891979</x:v>
      </x:c>
      <x:c r="AD5" s="18" t="n">
        <x:v>0.7312394184578943</x:v>
      </x:c>
      <x:c r="AE5" s="18" t="n">
        <x:v>0.8604601918107475</x:v>
      </x:c>
      <x:c r="AF5" s="18" t="n">
        <x:v>0.27404163521083047</x:v>
      </x:c>
      <x:c r="AG5" s="18" t="n">
        <x:v>3.35030186375908</x:v>
      </x:c>
      <x:c r="AH5" s="18" t="n">
        <x:v>-0.5430183978000699</x:v>
      </x:c>
      <x:c r="AI5" s="18" t="n">
        <x:v>2.5475909291222294</x:v>
      </x:c>
      <x:c r="AJ5" s="18" t="n">
        <x:v>0.001607510889553127</x:v>
      </x:c>
      <x:c r="AK5" s="18" t="n">
        <x:v>0.028399135514458062</x:v>
      </x:c>
      <x:c r="AL5" s="18" t="n">
        <x:v>0.7197471195322945</x:v>
      </x:c>
      <x:c r="AM5" s="18" t="n">
        <x:v>0.8515380518455816</x:v>
      </x:c>
      <x:c r="AN5" s="18" t="n">
        <x:v>0.7273467930051911</x:v>
      </x:c>
      <x:c r="AO5" s="18" t="n">
        <x:v>0.8582091610700258</x:v>
      </x:c>
      <x:c r="AP5" s="18" t="n">
        <x:v>0.2781142153089009</x:v>
      </x:c>
      <x:c r="AQ5" s="18" t="n">
        <x:v>3.3764719091006756</x:v>
      </x:c>
      <x:c r="AR5" s="18" t="n">
        <x:v>0.1824565268220348</x:v>
      </x:c>
      <x:c r="AS5" s="18" t="n">
        <x:v>0.29252104030633563</x:v>
      </x:c>
      <x:c r="AT5" s="18" t="n">
        <x:v>0.18348130681439545</x:v>
      </x:c>
      <x:c r="AU5" s="18" t="n">
        <x:v>0.2952415332655573</x:v>
      </x:c>
      <x:c r="AV5" s="18" t="n">
        <x:v>0.9770940960990893</x:v>
      </x:c>
      <x:c r="AW5" s="18" t="n">
        <x:v>0.994332538318089</x:v>
      </x:c>
    </x:row>
    <x:row r="6">
      <x:c r="A6" s="8" t="str">
        <x:v>sensitivity_5min_horizon</x:v>
      </x:c>
      <x:c r="B6" s="16" t="n">
        <x:v>300</x:v>
      </x:c>
      <x:c r="C6" s="8" t="str">
        <x:v>actual_timing_only</x:v>
      </x:c>
      <x:c r="D6" s="16" t="n">
        <x:v>55</x:v>
      </x:c>
      <x:c r="E6" s="16" t="n">
        <x:v>365</x:v>
      </x:c>
      <x:c r="F6" s="18" t="n">
        <x:v>10446.666666666666</x:v>
      </x:c>
      <x:c r="G6" s="18" t="n">
        <x:v>4283.832016666663</x:v>
      </x:c>
      <x:c r="H6" s="18" t="n">
        <x:v>8384.394833333334</x:v>
      </x:c>
      <x:c r="I6" s="18" t="n">
        <x:v>2221.5601833333285</x:v>
      </x:c>
      <x:c r="J6" s="18" t="n">
        <x:v>4283.25</x:v>
      </x:c>
      <x:c r="K6" s="18" t="n">
        <x:v>4101.144833333333</x:v>
      </x:c>
      <x:c r="L6" s="18" t="n">
        <x:v>6163.416666666666</x:v>
      </x:c>
      <x:c r="M6" s="18" t="n">
        <x:v>0.8025904435226549</x:v>
      </x:c>
      <x:c r="N6" s="18" t="n">
        <x:v>0.21265732450542393</x:v>
      </x:c>
      <x:c r="O6" s="18" t="n">
        <x:v>-0.5899331190172308</x:v>
      </x:c>
      <x:c r="P6" s="18" t="n">
        <x:v>0.41001116783663055</x:v>
      </x:c>
      <x:c r="Q6" s="18" t="n">
        <x:v>0.39257927568602424</x:v>
      </x:c>
      <x:c r="R6" s="18" t="n">
        <x:v>0.665401197928638</x:v>
      </x:c>
      <x:c r="S6" s="18" t="n">
        <x:v>0.3604429658874264</x:v>
      </x:c>
      <x:c r="T6" s="18" t="n">
        <x:v>0.681209211456125</x:v>
      </x:c>
      <x:c r="U6" s="18" t="n">
        <x:v>0.6665148775557254</x:v>
      </x:c>
      <x:c r="V6" s="16" t="n">
        <x:v>1266</x:v>
      </x:c>
      <x:c r="W6" s="16" t="n">
        <x:v>4905</x:v>
      </x:c>
      <x:c r="X6" s="16" t="n">
        <x:v>1578</x:v>
      </x:c>
      <x:c r="Y6" s="16" t="n">
        <x:v>1246</x:v>
      </x:c>
      <x:c r="Z6" s="16" t="n">
        <x:v>149293</x:v>
      </x:c>
      <x:c r="AA6" s="18" t="n">
        <x:v>0.20515313563441906</x:v>
      </x:c>
      <x:c r="AB6" s="18" t="n">
        <x:v>0.4451476793248945</x:v>
      </x:c>
      <x:c r="AC6" s="18" t="n">
        <x:v>0.9917230750835332</x:v>
      </x:c>
      <x:c r="AD6" s="18" t="n">
        <x:v>0.7335505025345369</x:v>
      </x:c>
      <x:c r="AE6" s="18" t="n">
        <x:v>0.8625143192258565</x:v>
      </x:c>
      <x:c r="AF6" s="18" t="n">
        <x:v>0.16729189237677197</x:v>
      </x:c>
      <x:c r="AG6" s="18" t="n">
        <x:v>0.2643689038385296</x:v>
      </x:c>
      <x:c r="AH6" s="18" t="n">
        <x:v>-0.671755076769243</x:v>
      </x:c>
      <x:c r="AI6" s="18" t="n">
        <x:v>-0.5022189899069032</x:v>
      </x:c>
      <x:c r="AJ6" s="18" t="n">
        <x:v>0.34513244083640865</x:v>
      </x:c>
      <x:c r="AK6" s="18" t="n">
        <x:v>0.47393075191213363</x:v>
      </x:c>
      <x:c r="AL6" s="18" t="n">
        <x:v>0.34264207057338913</x:v>
      </x:c>
      <x:c r="AM6" s="18" t="n">
        <x:v>0.44729242254077645</x:v>
      </x:c>
      <x:c r="AN6" s="18" t="n">
        <x:v>0.5750455877873698</x:v>
      </x:c>
      <x:c r="AO6" s="18" t="n">
        <x:v>0.7531503799166139</x:v>
      </x:c>
      <x:c r="AP6" s="18" t="n">
        <x:v>0.28612107763730954</x:v>
      </x:c>
      <x:c r="AQ6" s="18" t="n">
        <x:v>0.45035857838393717</x:v>
      </x:c>
      <x:c r="AR6" s="18" t="n">
        <x:v>0.16095039174185882</x:v>
      </x:c>
      <x:c r="AS6" s="18" t="n">
        <x:v>0.2565636679431939</x:v>
      </x:c>
      <x:c r="AT6" s="18" t="n">
        <x:v>0.3778391801959206</x:v>
      </x:c>
      <x:c r="AU6" s="18" t="n">
        <x:v>0.5029323124994802</x:v>
      </x:c>
      <x:c r="AV6" s="18" t="n">
        <x:v>0.9899307628730507</x:v>
      </x:c>
      <x:c r="AW6" s="18" t="n">
        <x:v>0.9933156747323889</x:v>
      </x:c>
    </x:row>
    <x:row r="7">
      <x:c r="A7" s="8" t="str">
        <x:v>primary_10min_horizon</x:v>
      </x:c>
      <x:c r="B7" s="16" t="n">
        <x:v>600</x:v>
      </x:c>
      <x:c r="C7" s="8" t="str">
        <x:v>actual_timing_only</x:v>
      </x:c>
      <x:c r="D7" s="16" t="n">
        <x:v>55</x:v>
      </x:c>
      <x:c r="E7" s="16" t="n">
        <x:v>365</x:v>
      </x:c>
      <x:c r="F7" s="18" t="n">
        <x:v>10446.666666666666</x:v>
      </x:c>
      <x:c r="G7" s="18" t="n">
        <x:v>4780.605216666663</x:v>
      </x:c>
      <x:c r="H7" s="18" t="n">
        <x:v>8365.414</x:v>
      </x:c>
      <x:c r="I7" s="18" t="n">
        <x:v>2699.3525499999964</x:v>
      </x:c>
      <x:c r="J7" s="18" t="n">
        <x:v>3803</x:v>
      </x:c>
      <x:c r="K7" s="18" t="n">
        <x:v>4562.414</x:v>
      </x:c>
      <x:c r="L7" s="18" t="n">
        <x:v>6643.666666666666</x:v>
      </x:c>
      <x:c r="M7" s="18" t="n">
        <x:v>0.8007735162731335</x:v>
      </x:c>
      <x:c r="N7" s="18" t="n">
        <x:v>0.25839367102744065</x:v>
      </x:c>
      <x:c r="O7" s="18" t="n">
        <x:v>-0.5423798452456927</x:v>
      </x:c>
      <x:c r="P7" s="18" t="n">
        <x:v>0.36403956604977666</x:v>
      </x:c>
      <x:c r="Q7" s="18" t="n">
        <x:v>0.43673395022335676</x:v>
      </x:c>
      <x:c r="R7" s="18" t="n">
        <x:v>0.6867313230645729</x:v>
      </x:c>
      <x:c r="S7" s="18" t="n">
        <x:v>0.40630463348552454</x:v>
      </x:c>
      <x:c r="T7" s="18" t="n">
        <x:v>0.6047823918194288</x:v>
      </x:c>
      <x:c r="U7" s="18" t="n">
        <x:v>0.5926977370720452</x:v>
      </x:c>
      <x:c r="V7" s="16" t="n">
        <x:v>1298</x:v>
      </x:c>
      <x:c r="W7" s="16" t="n">
        <x:v>4873</x:v>
      </x:c>
      <x:c r="X7" s="16" t="n">
        <x:v>1920</x:v>
      </x:c>
      <x:c r="Y7" s="16" t="n">
        <x:v>1548</x:v>
      </x:c>
      <x:c r="Z7" s="16" t="n">
        <x:v>185389</x:v>
      </x:c>
      <x:c r="AA7" s="18" t="n">
        <x:v>0.2103386809269162</x:v>
      </x:c>
      <x:c r="AB7" s="18" t="n">
        <x:v>0.4033561218147918</x:v>
      </x:c>
      <x:c r="AC7" s="18" t="n">
        <x:v>0.9917191353236652</x:v>
      </x:c>
      <x:c r="AD7" s="18" t="n">
        <x:v>0.7312982405451667</x:v>
      </x:c>
      <x:c r="AE7" s="18" t="n">
        <x:v>0.8593401435920061</x:v>
      </x:c>
      <x:c r="AF7" s="18" t="n">
        <x:v>0.18541443572152538</x:v>
      </x:c>
      <x:c r="AG7" s="18" t="n">
        <x:v>0.3453579188429742</x:v>
      </x:c>
      <x:c r="AH7" s="18" t="n">
        <x:v>-0.6438039739113403</x:v>
      </x:c>
      <x:c r="AI7" s="18" t="n">
        <x:v>-0.42529230157902553</x:v>
      </x:c>
      <x:c r="AJ7" s="18" t="n">
        <x:v>0.30168195997371794</x:v>
      </x:c>
      <x:c r="AK7" s="18" t="n">
        <x:v>0.4205475603004512</x:v>
      </x:c>
      <x:c r="AL7" s="18" t="n">
        <x:v>0.38930156176000724</x:v>
      </x:c>
      <x:c r="AM7" s="18" t="n">
        <x:v>0.4990931843889325</x:v>
      </x:c>
      <x:c r="AN7" s="18" t="n">
        <x:v>0.6020235065135092</x:v>
      </x:c>
      <x:c r="AO7" s="18" t="n">
        <x:v>0.7702209358843384</x:v>
      </x:c>
      <x:c r="AP7" s="18" t="n">
        <x:v>0.2950844021394502</x:v>
      </x:c>
      <x:c r="AQ7" s="18" t="n">
        <x:v>0.5330134528732563</x:v>
      </x:c>
      <x:c r="AR7" s="18" t="n">
        <x:v>0.16760020257662306</x:v>
      </x:c>
      <x:c r="AS7" s="18" t="n">
        <x:v>0.2564011374783058</x:v>
      </x:c>
      <x:c r="AT7" s="18" t="n">
        <x:v>0.3390530945636862</x:v>
      </x:c>
      <x:c r="AU7" s="18" t="n">
        <x:v>0.46275722140786063</x:v>
      </x:c>
      <x:c r="AV7" s="18" t="n">
        <x:v>0.9894929776147465</x:v>
      </x:c>
      <x:c r="AW7" s="18" t="n">
        <x:v>0.9936535325304124</x:v>
      </x:c>
    </x:row>
    <x:row r="8">
      <x:c r="A8" s="8" t="str">
        <x:v>no_maximum_horizon</x:v>
      </x:c>
      <x:c r="B8" s="16"/>
      <x:c r="C8" s="8" t="str">
        <x:v>actual_nibp_timing_plus_cuff</x:v>
      </x:c>
      <x:c r="D8" s="16" t="n">
        <x:v>60</x:v>
      </x:c>
      <x:c r="E8" s="16" t="n">
        <x:v>365</x:v>
      </x:c>
      <x:c r="F8" s="18" t="n">
        <x:v>19401.25</x:v>
      </x:c>
      <x:c r="G8" s="18" t="n">
        <x:v>21775.666666666664</x:v>
      </x:c>
      <x:c r="H8" s="18" t="n">
        <x:v>18320.25</x:v>
      </x:c>
      <x:c r="I8" s="18" t="n">
        <x:v>20694.666666666664</x:v>
      </x:c>
      <x:c r="J8" s="18" t="n">
        <x:v>147.33333333333331</x:v>
      </x:c>
      <x:c r="K8" s="18" t="n">
        <x:v>18172.916666666664</x:v>
      </x:c>
      <x:c r="L8" s="18" t="n">
        <x:v>19253.916666666664</x:v>
      </x:c>
      <x:c r="M8" s="18" t="n">
        <x:v>0.9442819405966111</x:v>
      </x:c>
      <x:c r="N8" s="18" t="n">
        <x:v>1.0666666666666667</x:v>
      </x:c>
      <x:c r="O8" s="18" t="n">
        <x:v>0.1223847260700555</x:v>
      </x:c>
      <x:c r="P8" s="18" t="n">
        <x:v>0.0075940124132895205</x:v>
      </x:c>
      <x:c r="Q8" s="18" t="n">
        <x:v>0.9366879281833214</x:v>
      </x:c>
      <x:c r="R8" s="18" t="n">
        <x:v>0.9438555791678749</x:v>
      </x:c>
      <x:c r="S8" s="18" t="n">
        <x:v>1.074828930910161</x:v>
      </x:c>
      <x:c r="T8" s="18" t="n">
        <x:v>0.0011514320156295467</x:v>
      </x:c>
      <x:c r="U8" s="18" t="n">
        <x:v>0.009697990477297367</x:v>
      </x:c>
      <x:c r="V8" s="16" t="n">
        <x:v>1829</x:v>
      </x:c>
      <x:c r="W8" s="16" t="n">
        <x:v>13073</x:v>
      </x:c>
      <x:c r="X8" s="16" t="n">
        <x:v>13023</x:v>
      </x:c>
      <x:c r="Y8" s="16" t="n">
        <x:v>25220</x:v>
      </x:c>
      <x:c r="Z8" s="16" t="n">
        <x:v>440514</x:v>
      </x:c>
      <x:c r="AA8" s="18" t="n">
        <x:v>0.1227352033284123</x:v>
      </x:c>
      <x:c r="AB8" s="18" t="n">
        <x:v>0.12314839752221923</x:v>
      </x:c>
      <x:c r="AC8" s="18" t="n">
        <x:v>0.9458489180519353</x:v>
      </x:c>
      <x:c r="AD8" s="18" t="n">
        <x:v>0.9122790277735172</x:v>
      </x:c>
      <x:c r="AE8" s="18" t="n">
        <x:v>0.9673992425313475</x:v>
      </x:c>
      <x:c r="AF8" s="18" t="n">
        <x:v>0.7094399735329276</x:v>
      </x:c>
      <x:c r="AG8" s="18" t="n">
        <x:v>1.4931519449039239</x:v>
      </x:c>
      <x:c r="AH8" s="18" t="n">
        <x:v>-0.24688540148010382</x:v>
      </x:c>
      <x:c r="AI8" s="18" t="n">
        <x:v>0.5472851327273085</x:v>
      </x:c>
      <x:c r="AJ8" s="18" t="n">
        <x:v>0.0012701586392051282</x:v>
      </x:c>
      <x:c r="AK8" s="18" t="n">
        <x:v>0.01772104243170114</x:v>
      </x:c>
      <x:c r="AL8" s="18" t="n">
        <x:v>0.9019118835632755</x:v>
      </x:c>
      <x:c r="AM8" s="18" t="n">
        <x:v>0.963578436079204</x:v>
      </x:c>
      <x:c r="AN8" s="18" t="n">
        <x:v>0.9115342526971411</x:v>
      </x:c>
      <x:c r="AO8" s="18" t="n">
        <x:v>0.9672883154884272</x:v>
      </x:c>
      <x:c r="AP8" s="18" t="n">
        <x:v>0.7142214567496691</x:v>
      </x:c>
      <x:c r="AQ8" s="18" t="n">
        <x:v>1.4988756841813586</x:v>
      </x:c>
      <x:c r="AR8" s="18" t="n">
        <x:v>0.07644265486394826</x:v>
      </x:c>
      <x:c r="AS8" s="18" t="n">
        <x:v>0.17540650824448986</x:v>
      </x:c>
      <x:c r="AT8" s="18" t="n">
        <x:v>0.07659303662126911</x:v>
      </x:c>
      <x:c r="AU8" s="18" t="n">
        <x:v>0.17613140670852745</x:v>
      </x:c>
      <x:c r="AV8" s="18" t="n">
        <x:v>0.9301567092984389</x:v>
      </x:c>
      <x:c r="AW8" s="18" t="n">
        <x:v>0.9614392334074057</x:v>
      </x:c>
    </x:row>
    <x:row r="9">
      <x:c r="A9" s="8" t="str">
        <x:v>sensitivity_5min_horizon</x:v>
      </x:c>
      <x:c r="B9" s="16" t="n">
        <x:v>300</x:v>
      </x:c>
      <x:c r="C9" s="8" t="str">
        <x:v>actual_nibp_timing_plus_cuff</x:v>
      </x:c>
      <x:c r="D9" s="16" t="n">
        <x:v>60</x:v>
      </x:c>
      <x:c r="E9" s="16" t="n">
        <x:v>365</x:v>
      </x:c>
      <x:c r="F9" s="18" t="n">
        <x:v>19401.25</x:v>
      </x:c>
      <x:c r="G9" s="18" t="n">
        <x:v>7364.333333333334</x:v>
      </x:c>
      <x:c r="H9" s="18" t="n">
        <x:v>18706.166666666668</x:v>
      </x:c>
      <x:c r="I9" s="18" t="n">
        <x:v>6669.25</x:v>
      </x:c>
      <x:c r="J9" s="18" t="n">
        <x:v>9379.916666666666</x:v>
      </x:c>
      <x:c r="K9" s="18" t="n">
        <x:v>9326.25</x:v>
      </x:c>
      <x:c r="L9" s="18" t="n">
        <x:v>10021.333333333334</x:v>
      </x:c>
      <x:c r="M9" s="18" t="n">
        <x:v>0.9641732706225974</x:v>
      </x:c>
      <x:c r="N9" s="18" t="n">
        <x:v>0.3437536241221571</x:v>
      </x:c>
      <x:c r="O9" s="18" t="n">
        <x:v>-0.6204196465004402</x:v>
      </x:c>
      <x:c r="P9" s="18" t="n">
        <x:v>0.48346970770783665</x:v>
      </x:c>
      <x:c r="Q9" s="18" t="n">
        <x:v>0.48070356291476063</x:v>
      </x:c>
      <x:c r="R9" s="18" t="n">
        <x:v>0.9306396354443852</x:v>
      </x:c>
      <x:c r="S9" s="18" t="n">
        <x:v>0.6655052554550293</x:v>
      </x:c>
      <x:c r="T9" s="18" t="n">
        <x:v>0.681209211456125</x:v>
      </x:c>
      <x:c r="U9" s="18" t="n">
        <x:v>0.6665148775557254</x:v>
      </x:c>
      <x:c r="V9" s="16" t="n">
        <x:v>1032</x:v>
      </x:c>
      <x:c r="W9" s="16" t="n">
        <x:v>13870</x:v>
      </x:c>
      <x:c r="X9" s="16" t="n">
        <x:v>5206</x:v>
      </x:c>
      <x:c r="Y9" s="16" t="n">
        <x:v>7559</x:v>
      </x:c>
      <x:c r="Z9" s="16" t="n">
        <x:v>139586</x:v>
      </x:c>
      <x:c r="AA9" s="18" t="n">
        <x:v>0.06925244933565965</x:v>
      </x:c>
      <x:c r="AB9" s="18" t="n">
        <x:v>0.1654376402693171</x:v>
      </x:c>
      <x:c r="AC9" s="18" t="n">
        <x:v>0.9486289034625709</x:v>
      </x:c>
      <x:c r="AD9" s="18" t="n">
        <x:v>0.9456295063925624</x:v>
      </x:c>
      <x:c r="AE9" s="18" t="n">
        <x:v>0.9787078514057411</x:v>
      </x:c>
      <x:c r="AF9" s="18" t="n">
        <x:v>0.24435527810122037</x:v>
      </x:c>
      <x:c r="AG9" s="18" t="n">
        <x:v>0.4563782984267113</x:v>
      </x:c>
      <x:c r="AH9" s="18" t="n">
        <x:v>-0.7251235077793053</x:v>
      </x:c>
      <x:c r="AI9" s="18" t="n">
        <x:v>-0.5059215205042772</x:v>
      </x:c>
      <x:c r="AJ9" s="18" t="n">
        <x:v>0.422314441846979</x:v>
      </x:c>
      <x:c r="AK9" s="18" t="n">
        <x:v>0.5398971820150074</x:v>
      </x:c>
      <x:c r="AL9" s="18" t="n">
        <x:v>0.4235778753229585</x:v>
      </x:c>
      <x:c r="AM9" s="18" t="n">
        <x:v>0.546022802828867</x:v>
      </x:c>
      <x:c r="AN9" s="18" t="n">
        <x:v>0.8910216449014848</x:v>
      </x:c>
      <x:c r="AO9" s="18" t="n">
        <x:v>0.959676842631296</x:v>
      </x:c>
      <x:c r="AP9" s="18" t="n">
        <x:v>0.467940900990744</x:v>
      </x:c>
      <x:c r="AQ9" s="18" t="n">
        <x:v>0.9105851261134826</x:v>
      </x:c>
      <x:c r="AR9" s="18" t="n">
        <x:v>0.04413277884203464</x:v>
      </x:c>
      <x:c r="AS9" s="18" t="n">
        <x:v>0.09557617343205727</x:v>
      </x:c>
      <x:c r="AT9" s="18" t="n">
        <x:v>0.10588117529629817</x:v>
      </x:c>
      <x:c r="AU9" s="18" t="n">
        <x:v>0.22459968652138929</x:v>
      </x:c>
      <x:c r="AV9" s="18" t="n">
        <x:v>0.93565517998968</x:v>
      </x:c>
      <x:c r="AW9" s="18" t="n">
        <x:v>0.9605698704922498</x:v>
      </x:c>
    </x:row>
    <x:row r="10">
      <x:c r="A10" s="8" t="str">
        <x:v>primary_10min_horizon</x:v>
      </x:c>
      <x:c r="B10" s="16" t="n">
        <x:v>600</x:v>
      </x:c>
      <x:c r="C10" s="8" t="str">
        <x:v>actual_nibp_timing_plus_cuff</x:v>
      </x:c>
      <x:c r="D10" s="16" t="n">
        <x:v>60</x:v>
      </x:c>
      <x:c r="E10" s="16" t="n">
        <x:v>365</x:v>
      </x:c>
      <x:c r="F10" s="18" t="n">
        <x:v>19401.25</x:v>
      </x:c>
      <x:c r="G10" s="18" t="n">
        <x:v>8943.333333333332</x:v>
      </x:c>
      <x:c r="H10" s="18" t="n">
        <x:v>18642.916666666668</x:v>
      </x:c>
      <x:c r="I10" s="18" t="n">
        <x:v>8185</x:v>
      </x:c>
      <x:c r="J10" s="18" t="n">
        <x:v>8262.333333333334</x:v>
      </x:c>
      <x:c r="K10" s="18" t="n">
        <x:v>10380.583333333334</x:v>
      </x:c>
      <x:c r="L10" s="18" t="n">
        <x:v>11138.916666666668</x:v>
      </x:c>
      <x:c r="M10" s="18" t="n">
        <x:v>0.9609131714021864</x:v>
      </x:c>
      <x:c r="N10" s="18" t="n">
        <x:v>0.42188003350299597</x:v>
      </x:c>
      <x:c r="O10" s="18" t="n">
        <x:v>-0.5390331378991904</x:v>
      </x:c>
      <x:c r="P10" s="18" t="n">
        <x:v>0.425866030968795</x:v>
      </x:c>
      <x:c r="Q10" s="18" t="n">
        <x:v>0.5350471404333913</x:v>
      </x:c>
      <x:c r="R10" s="18" t="n">
        <x:v>0.9319203692758871</x:v>
      </x:c>
      <x:c r="S10" s="18" t="n">
        <x:v>0.7348111351343263</x:v>
      </x:c>
      <x:c r="T10" s="18" t="n">
        <x:v>0.6047823918194288</x:v>
      </x:c>
      <x:c r="U10" s="18" t="n">
        <x:v>0.5926977370720452</x:v>
      </x:c>
      <x:c r="V10" s="16" t="n">
        <x:v>1197</x:v>
      </x:c>
      <x:c r="W10" s="16" t="n">
        <x:v>13705</x:v>
      </x:c>
      <x:c r="X10" s="16" t="n">
        <x:v>6189</x:v>
      </x:c>
      <x:c r="Y10" s="16" t="n">
        <x:v>9355</x:v>
      </x:c>
      <x:c r="Z10" s="16" t="n">
        <x:v>173414</x:v>
      </x:c>
      <x:c r="AA10" s="18" t="n">
        <x:v>0.08032478861897732</x:v>
      </x:c>
      <x:c r="AB10" s="18" t="n">
        <x:v>0.1620633631194151</x:v>
      </x:c>
      <x:c r="AC10" s="18" t="n">
        <x:v>0.9488151710629265</x:v>
      </x:c>
      <x:c r="AD10" s="18" t="n">
        <x:v>0.9408256699196941</x:v>
      </x:c>
      <x:c r="AE10" s="18" t="n">
        <x:v>0.9771268427546785</x:v>
      </x:c>
      <x:c r="AF10" s="18" t="n">
        <x:v>0.28896842670707207</x:v>
      </x:c>
      <x:c r="AG10" s="18" t="n">
        <x:v>0.5812605754888228</x:v>
      </x:c>
      <x:c r="AH10" s="18" t="n">
        <x:v>-0.6794514113700697</x:v>
      </x:c>
      <x:c r="AI10" s="18" t="n">
        <x:v>-0.3762752996751078</x:v>
      </x:c>
      <x:c r="AJ10" s="18" t="n">
        <x:v>0.3677611815062329</x:v>
      </x:c>
      <x:c r="AK10" s="18" t="n">
        <x:v>0.47586052020756114</x:v>
      </x:c>
      <x:c r="AL10" s="18" t="n">
        <x:v>0.4816992328173192</x:v>
      </x:c>
      <x:c r="AM10" s="18" t="n">
        <x:v>0.5945996547001308</x:v>
      </x:c>
      <x:c r="AN10" s="18" t="n">
        <x:v>0.8966692048152476</x:v>
      </x:c>
      <x:c r="AO10" s="18" t="n">
        <x:v>0.9604334911155153</x:v>
      </x:c>
      <x:c r="AP10" s="18" t="n">
        <x:v>0.49961975553317584</x:v>
      </x:c>
      <x:c r="AQ10" s="18" t="n">
        <x:v>1.0101392901560655</x:v>
      </x:c>
      <x:c r="AR10" s="18" t="n">
        <x:v>0.05270292294183386</x:v>
      </x:c>
      <x:c r="AS10" s="18" t="n">
        <x:v>0.11023700837053305</x:v>
      </x:c>
      <x:c r="AT10" s="18" t="n">
        <x:v>0.10724914520259818</x:v>
      </x:c>
      <x:c r="AU10" s="18" t="n">
        <x:v>0.21786078377819632</x:v>
      </x:c>
      <x:c r="AV10" s="18" t="n">
        <x:v>0.9361388502705121</x:v>
      </x:c>
      <x:c r="AW10" s="18" t="n">
        <x:v>0.9612539143961908</x:v>
      </x:c>
    </x:row>
    <x:row r="11">
      <x:c r="A11" s="8" t="str">
        <x:v>no_maximum_horizon</x:v>
      </x:c>
      <x:c r="B11" s="16"/>
      <x:c r="C11" s="8" t="str">
        <x:v>actual_timing_only</x:v>
      </x:c>
      <x:c r="D11" s="16" t="n">
        <x:v>60</x:v>
      </x:c>
      <x:c r="E11" s="16" t="n">
        <x:v>365</x:v>
      </x:c>
      <x:c r="F11" s="18" t="n">
        <x:v>19401.25</x:v>
      </x:c>
      <x:c r="G11" s="18" t="n">
        <x:v>28454.16073333337</x:v>
      </x:c>
      <x:c r="H11" s="18" t="n">
        <x:v>14653.144533333332</x:v>
      </x:c>
      <x:c r="I11" s="18" t="n">
        <x:v>23706.0552666667</x:v>
      </x:c>
      <x:c r="J11" s="18" t="n">
        <x:v>147.33333333333331</x:v>
      </x:c>
      <x:c r="K11" s="18" t="n">
        <x:v>14505.8112</x:v>
      </x:c>
      <x:c r="L11" s="18" t="n">
        <x:v>19253.916666666664</x:v>
      </x:c>
      <x:c r="M11" s="18" t="n">
        <x:v>0.7552680643429331</x:v>
      </x:c>
      <x:c r="N11" s="18" t="n">
        <x:v>1.2218828821167038</x:v>
      </x:c>
      <x:c r="O11" s="18" t="n">
        <x:v>0.4666148177737708</x:v>
      </x:c>
      <x:c r="P11" s="18" t="n">
        <x:v>0.0075940124132895205</x:v>
      </x:c>
      <x:c r="Q11" s="18" t="n">
        <x:v>0.7476740519296438</x:v>
      </x:c>
      <x:c r="R11" s="18" t="n">
        <x:v>0.7533953455357569</x:v>
      </x:c>
      <x:c r="S11" s="18" t="n">
        <x:v>1.2312328798902406</x:v>
      </x:c>
      <x:c r="T11" s="18" t="n">
        <x:v>0.0011514320156295467</x:v>
      </x:c>
      <x:c r="U11" s="18" t="n">
        <x:v>0.009697990477297367</x:v>
      </x:c>
      <x:c r="V11" s="16" t="n">
        <x:v>5575</x:v>
      </x:c>
      <x:c r="W11" s="16" t="n">
        <x:v>9327</x:v>
      </x:c>
      <x:c r="X11" s="16" t="n">
        <x:v>9277</x:v>
      </x:c>
      <x:c r="Y11" s="16" t="n">
        <x:v>17926</x:v>
      </x:c>
      <x:c r="Z11" s="16" t="n">
        <x:v>447808</x:v>
      </x:c>
      <x:c r="AA11" s="18" t="n">
        <x:v>0.37411085760300633</x:v>
      </x:c>
      <x:c r="AB11" s="18" t="n">
        <x:v>0.37537032049555613</x:v>
      </x:c>
      <x:c r="AC11" s="18" t="n">
        <x:v>0.9615102182791035</x:v>
      </x:c>
      <x:c r="AD11" s="18" t="n">
        <x:v>0.7028111372918023</x:v>
      </x:c>
      <x:c r="AE11" s="18" t="n">
        <x:v>0.8080300762394905</x:v>
      </x:c>
      <x:c r="AF11" s="18" t="n">
        <x:v>0.4291445814725063</x:v>
      </x:c>
      <x:c r="AG11" s="18" t="n">
        <x:v>2.3744232802885192</x:v>
      </x:c>
      <x:c r="AH11" s="18" t="n">
        <x:v>-0.3438333280880413</x:v>
      </x:c>
      <x:c r="AI11" s="18" t="n">
        <x:v>1.609260630310107</x:v>
      </x:c>
      <x:c r="AJ11" s="18" t="n">
        <x:v>0.0012202173718253223</x:v>
      </x:c>
      <x:c r="AK11" s="18" t="n">
        <x:v>0.018113712511669773</x:v>
      </x:c>
      <x:c r="AL11" s="18" t="n">
        <x:v>0.6953125896728742</x:v>
      </x:c>
      <x:c r="AM11" s="18" t="n">
        <x:v>0.8012638271147065</x:v>
      </x:c>
      <x:c r="AN11" s="18" t="n">
        <x:v>0.7006471664689297</x:v>
      </x:c>
      <x:c r="AO11" s="18" t="n">
        <x:v>0.8065707474062156</x:v>
      </x:c>
      <x:c r="AP11" s="18" t="n">
        <x:v>0.4322210641628439</x:v>
      </x:c>
      <x:c r="AQ11" s="18" t="n">
        <x:v>2.3784896861117386</x:v>
      </x:c>
      <x:c r="AR11" s="18" t="n">
        <x:v>0.30187006455154725</x:v>
      </x:c>
      <x:c r="AS11" s="18" t="n">
        <x:v>0.4546601810300039</x:v>
      </x:c>
      <x:c r="AT11" s="18" t="n">
        <x:v>0.3030877402782279</x:v>
      </x:c>
      <x:c r="AU11" s="18" t="n">
        <x:v>0.45610371695398993</x:v>
      </x:c>
      <x:c r="AV11" s="18" t="n">
        <x:v>0.9458131785404433</x:v>
      </x:c>
      <x:c r="AW11" s="18" t="n">
        <x:v>0.9753087115328325</x:v>
      </x:c>
    </x:row>
    <x:row r="12">
      <x:c r="A12" s="8" t="str">
        <x:v>sensitivity_5min_horizon</x:v>
      </x:c>
      <x:c r="B12" s="16" t="n">
        <x:v>300</x:v>
      </x:c>
      <x:c r="C12" s="8" t="str">
        <x:v>actual_timing_only</x:v>
      </x:c>
      <x:c r="D12" s="16" t="n">
        <x:v>60</x:v>
      </x:c>
      <x:c r="E12" s="16" t="n">
        <x:v>365</x:v>
      </x:c>
      <x:c r="F12" s="18" t="n">
        <x:v>19401.25</x:v>
      </x:c>
      <x:c r="G12" s="18" t="n">
        <x:v>7655.389366666659</x:v>
      </x:c>
      <x:c r="H12" s="18" t="n">
        <x:v>15404.959866666666</x:v>
      </x:c>
      <x:c r="I12" s="18" t="n">
        <x:v>3659.099233333326</x:v>
      </x:c>
      <x:c r="J12" s="18" t="n">
        <x:v>9379.916666666666</x:v>
      </x:c>
      <x:c r="K12" s="18" t="n">
        <x:v>6025.0432</x:v>
      </x:c>
      <x:c r="L12" s="18" t="n">
        <x:v>10021.333333333334</x:v>
      </x:c>
      <x:c r="M12" s="18" t="n">
        <x:v>0.7940189352060649</x:v>
      </x:c>
      <x:c r="N12" s="18" t="n">
        <x:v>0.1886012104031094</x:v>
      </x:c>
      <x:c r="O12" s="18" t="n">
        <x:v>-0.6054177248029555</x:v>
      </x:c>
      <x:c r="P12" s="18" t="n">
        <x:v>0.48346970770783665</x:v>
      </x:c>
      <x:c r="Q12" s="18" t="n">
        <x:v>0.3105492274982282</x:v>
      </x:c>
      <x:c r="R12" s="18" t="n">
        <x:v>0.601221713677488</x:v>
      </x:c>
      <x:c r="S12" s="18" t="n">
        <x:v>0.3651309772485357</x:v>
      </x:c>
      <x:c r="T12" s="18" t="n">
        <x:v>0.681209211456125</x:v>
      </x:c>
      <x:c r="U12" s="18" t="n">
        <x:v>0.6665148775557254</x:v>
      </x:c>
      <x:c r="V12" s="16" t="n">
        <x:v>3570</x:v>
      </x:c>
      <x:c r="W12" s="16" t="n">
        <x:v>11332</x:v>
      </x:c>
      <x:c r="X12" s="16" t="n">
        <x:v>2668</x:v>
      </x:c>
      <x:c r="Y12" s="16" t="n">
        <x:v>2491</x:v>
      </x:c>
      <x:c r="Z12" s="16" t="n">
        <x:v>144654</x:v>
      </x:c>
      <x:c r="AA12" s="18" t="n">
        <x:v>0.23956515903905515</x:v>
      </x:c>
      <x:c r="AB12" s="18" t="n">
        <x:v>0.5722988137223469</x:v>
      </x:c>
      <x:c r="AC12" s="18" t="n">
        <x:v>0.9830711203234904</x:v>
      </x:c>
      <x:c r="AD12" s="18" t="n">
        <x:v>0.7442985473209293</x:v>
      </x:c>
      <x:c r="AE12" s="18" t="n">
        <x:v>0.838318288748879</x:v>
      </x:c>
      <x:c r="AF12" s="18" t="n">
        <x:v>0.15691773803052744</x:v>
      </x:c>
      <x:c r="AG12" s="18" t="n">
        <x:v>0.22692384938295063</x:v>
      </x:c>
      <x:c r="AH12" s="18" t="n">
        <x:v>-0.6643383652031013</x:v>
      </x:c>
      <x:c r="AI12" s="18" t="n">
        <x:v>-0.5345510025075451</x:v>
      </x:c>
      <x:c r="AJ12" s="18" t="n">
        <x:v>0.42172775248617705</x:v>
      </x:c>
      <x:c r="AK12" s="18" t="n">
        <x:v>0.5388063462083796</x:v>
      </x:c>
      <x:c r="AL12" s="18" t="n">
        <x:v>0.2715532686099686</x:v>
      </x:c>
      <x:c r="AM12" s="18" t="n">
        <x:v>0.35268018411493013</x:v>
      </x:c>
      <x:c r="AN12" s="18" t="n">
        <x:v>0.535950190492636</x:v>
      </x:c>
      <x:c r="AO12" s="18" t="n">
        <x:v>0.6652094369992463</x:v>
      </x:c>
      <x:c r="AP12" s="18" t="n">
        <x:v>0.30402674877746627</x:v>
      </x:c>
      <x:c r="AQ12" s="18" t="n">
        <x:v>0.4366930025765315</x:v>
      </x:c>
      <x:c r="AR12" s="18" t="n">
        <x:v>0.20895916693744063</x:v>
      </x:c>
      <x:c r="AS12" s="18" t="n">
        <x:v>0.275684261508676</x:v>
      </x:c>
      <x:c r="AT12" s="18" t="n">
        <x:v>0.5249388611728486</x:v>
      </x:c>
      <x:c r="AU12" s="18" t="n">
        <x:v>0.6168865661496751</x:v>
      </x:c>
      <x:c r="AV12" s="18" t="n">
        <x:v>0.9801235683254551</x:v>
      </x:c>
      <x:c r="AW12" s="18" t="n">
        <x:v>0.9856613369407979</x:v>
      </x:c>
    </x:row>
    <x:row r="13">
      <x:c r="A13" s="8" t="str">
        <x:v>primary_10min_horizon</x:v>
      </x:c>
      <x:c r="B13" s="16" t="n">
        <x:v>600</x:v>
      </x:c>
      <x:c r="C13" s="8" t="str">
        <x:v>actual_timing_only</x:v>
      </x:c>
      <x:c r="D13" s="16" t="n">
        <x:v>60</x:v>
      </x:c>
      <x:c r="E13" s="16" t="n">
        <x:v>365</x:v>
      </x:c>
      <x:c r="F13" s="18" t="n">
        <x:v>19401.25</x:v>
      </x:c>
      <x:c r="G13" s="18" t="n">
        <x:v>8763.48356666666</x:v>
      </x:c>
      <x:c r="H13" s="18" t="n">
        <x:v>15274.9817</x:v>
      </x:c>
      <x:c r="I13" s="18" t="n">
        <x:v>4637.215266666659</x:v>
      </x:c>
      <x:c r="J13" s="18" t="n">
        <x:v>8262.333333333334</x:v>
      </x:c>
      <x:c r="K13" s="18" t="n">
        <x:v>7012.648366666666</x:v>
      </x:c>
      <x:c r="L13" s="18" t="n">
        <x:v>11138.916666666668</x:v>
      </x:c>
      <x:c r="M13" s="18" t="n">
        <x:v>0.7873194613749114</x:v>
      </x:c>
      <x:c r="N13" s="18" t="n">
        <x:v>0.2390163142409205</x:v>
      </x:c>
      <x:c r="O13" s="18" t="n">
        <x:v>-0.5483031471339909</x:v>
      </x:c>
      <x:c r="P13" s="18" t="n">
        <x:v>0.425866030968795</x:v>
      </x:c>
      <x:c r="Q13" s="18" t="n">
        <x:v>0.36145343040611644</x:v>
      </x:c>
      <x:c r="R13" s="18" t="n">
        <x:v>0.6295628719130375</x:v>
      </x:c>
      <x:c r="S13" s="18" t="n">
        <x:v>0.41630756432028776</x:v>
      </x:c>
      <x:c r="T13" s="18" t="n">
        <x:v>0.6047823918194288</x:v>
      </x:c>
      <x:c r="U13" s="18" t="n">
        <x:v>0.5926977370720452</x:v>
      </x:c>
      <x:c r="V13" s="16" t="n">
        <x:v>3870</x:v>
      </x:c>
      <x:c r="W13" s="16" t="n">
        <x:v>11032</x:v>
      </x:c>
      <x:c r="X13" s="16" t="n">
        <x:v>3516</x:v>
      </x:c>
      <x:c r="Y13" s="16" t="n">
        <x:v>3559</x:v>
      </x:c>
      <x:c r="Z13" s="16" t="n">
        <x:v>179210</x:v>
      </x:c>
      <x:c r="AA13" s="18" t="n">
        <x:v>0.25969668500872367</x:v>
      </x:c>
      <x:c r="AB13" s="18" t="n">
        <x:v>0.5239642567018684</x:v>
      </x:c>
      <x:c r="AC13" s="18" t="n">
        <x:v>0.9805273323156553</x:v>
      </x:c>
      <x:c r="AD13" s="18" t="n">
        <x:v>0.7399650333634</x:v>
      </x:c>
      <x:c r="AE13" s="18" t="n">
        <x:v>0.831320377634824</x:v>
      </x:c>
      <x:c r="AF13" s="18" t="n">
        <x:v>0.19008341315951024</x:v>
      </x:c>
      <x:c r="AG13" s="18" t="n">
        <x:v>0.2987024131111627</x:v>
      </x:c>
      <x:c r="AH13" s="18" t="n">
        <x:v>-0.6238699656742993</x:v>
      </x:c>
      <x:c r="AI13" s="18" t="n">
        <x:v>-0.4657423030389976</x:v>
      </x:c>
      <x:c r="AJ13" s="18" t="n">
        <x:v>0.3696864601641261</x:v>
      </x:c>
      <x:c r="AK13" s="18" t="n">
        <x:v>0.47559318853801646</x:v>
      </x:c>
      <x:c r="AL13" s="18" t="n">
        <x:v>0.3229319970951613</x:v>
      </x:c>
      <x:c r="AM13" s="18" t="n">
        <x:v>0.4081623348375316</x:v>
      </x:c>
      <x:c r="AN13" s="18" t="n">
        <x:v>0.5690093929669153</x:v>
      </x:c>
      <x:c r="AO13" s="18" t="n">
        <x:v>0.6924615768264959</x:v>
      </x:c>
      <x:c r="AP13" s="18" t="n">
        <x:v>0.3395703088348944</x:v>
      </x:c>
      <x:c r="AQ13" s="18" t="n">
        <x:v>0.5094687078016265</x:v>
      </x:c>
      <x:c r="AR13" s="18" t="n">
        <x:v>0.22091686568813798</x:v>
      </x:c>
      <x:c r="AS13" s="18" t="n">
        <x:v>0.300533757572067</x:v>
      </x:c>
      <x:c r="AT13" s="18" t="n">
        <x:v>0.474950604396451</x:v>
      </x:c>
      <x:c r="AU13" s="18" t="n">
        <x:v>0.5721340209236856</x:v>
      </x:c>
      <x:c r="AV13" s="18" t="n">
        <x:v>0.9765475785060139</x:v>
      </x:c>
      <x:c r="AW13" s="18" t="n">
        <x:v>0.9842251264516332</x:v>
      </x:c>
    </x:row>
    <x:row r="14">
      <x:c r="A14" s="8" t="str">
        <x:v>no_maximum_horizon</x:v>
      </x:c>
      <x:c r="B14" s="16"/>
      <x:c r="C14" s="8" t="str">
        <x:v>actual_nibp_timing_plus_cuff</x:v>
      </x:c>
      <x:c r="D14" s="16" t="n">
        <x:v>65</x:v>
      </x:c>
      <x:c r="E14" s="16" t="n">
        <x:v>365</x:v>
      </x:c>
      <x:c r="F14" s="18" t="n">
        <x:v>41564.58333333333</x:v>
      </x:c>
      <x:c r="G14" s="18" t="n">
        <x:v>60214.666666666664</x:v>
      </x:c>
      <x:c r="H14" s="18" t="n">
        <x:v>36592.08333333333</x:v>
      </x:c>
      <x:c r="I14" s="18" t="n">
        <x:v>55242.16666666667</x:v>
      </x:c>
      <x:c r="J14" s="18" t="n">
        <x:v>208.16666666666666</x:v>
      </x:c>
      <x:c r="K14" s="18" t="n">
        <x:v>36383.916666666664</x:v>
      </x:c>
      <x:c r="L14" s="18" t="n">
        <x:v>41356.416666666664</x:v>
      </x:c>
      <x:c r="M14" s="18" t="n">
        <x:v>0.8803668989023107</x:v>
      </x:c>
      <x:c r="N14" s="18" t="n">
        <x:v>1.3290682171319737</x:v>
      </x:c>
      <x:c r="O14" s="18" t="n">
        <x:v>0.4487013182296628</x:v>
      </x:c>
      <x:c r="P14" s="18" t="n">
        <x:v>0.0050082702621422484</x:v>
      </x:c>
      <x:c r="Q14" s="18" t="n">
        <x:v>0.8753586286401684</x:v>
      </x:c>
      <x:c r="R14" s="18" t="n">
        <x:v>0.8797647281659234</x:v>
      </x:c>
      <x:c r="S14" s="18" t="n">
        <x:v>1.3357580544736107</x:v>
      </x:c>
      <x:c r="T14" s="18" t="n">
        <x:v>0.0011514320156295467</x:v>
      </x:c>
      <x:c r="U14" s="18" t="n">
        <x:v>0.009697990477297367</x:v>
      </x:c>
      <x:c r="V14" s="16" t="n">
        <x:v>7382</x:v>
      </x:c>
      <x:c r="W14" s="16" t="n">
        <x:v>29724</x:v>
      </x:c>
      <x:c r="X14" s="16" t="n">
        <x:v>29621</x:v>
      </x:c>
      <x:c r="Y14" s="16" t="n">
        <x:v>49526</x:v>
      </x:c>
      <x:c r="Z14" s="16" t="n">
        <x:v>394057</x:v>
      </x:c>
      <x:c r="AA14" s="18" t="n">
        <x:v>0.19894356707810057</x:v>
      </x:c>
      <x:c r="AB14" s="18" t="n">
        <x:v>0.1994973380536713</x:v>
      </x:c>
      <x:c r="AC14" s="18" t="n">
        <x:v>0.8883500945708018</x:v>
      </x:c>
      <x:c r="AD14" s="18" t="n">
        <x:v>0.8447815103096852</x:v>
      </x:c>
      <x:c r="AE14" s="18" t="n">
        <x:v>0.9136510318513812</x:v>
      </x:c>
      <x:c r="AF14" s="18" t="n">
        <x:v>0.9958811955199742</x:v>
      </x:c>
      <x:c r="AG14" s="18" t="n">
        <x:v>1.7486628741695889</x:v>
      </x:c>
      <x:c r="AH14" s="18" t="n">
        <x:v>0.09332894469471636</x:v>
      </x:c>
      <x:c r="AI14" s="18" t="n">
        <x:v>0.8787827703198309</x:v>
      </x:c>
      <x:c r="AJ14" s="18" t="n">
        <x:v>0.0009396597798056916</x:v>
      </x:c>
      <x:c r="AK14" s="18" t="n">
        <x:v>0.012263685902309012</x:v>
      </x:c>
      <x:c r="AL14" s="18" t="n">
        <x:v>0.8379078487059192</x:v>
      </x:c>
      <x:c r="AM14" s="18" t="n">
        <x:v>0.9092340984716598</x:v>
      </x:c>
      <x:c r="AN14" s="18" t="n">
        <x:v>0.8444049736667217</x:v>
      </x:c>
      <x:c r="AO14" s="18" t="n">
        <x:v>0.9132574450676559</x:v>
      </x:c>
      <x:c r="AP14" s="18" t="n">
        <x:v>1.0016718339598194</x:v>
      </x:c>
      <x:c r="AQ14" s="18" t="n">
        <x:v>1.756661779695089</x:v>
      </x:c>
      <x:c r="AR14" s="18" t="n">
        <x:v>0.15498332485343203</x:v>
      </x:c>
      <x:c r="AS14" s="18" t="n">
        <x:v>0.24393796883032354</x:v>
      </x:c>
      <x:c r="AT14" s="18" t="n">
        <x:v>0.15529898597973157</x:v>
      </x:c>
      <x:c r="AU14" s="18" t="n">
        <x:v>0.2447327336046078</x:v>
      </x:c>
      <x:c r="AV14" s="18" t="n">
        <x:v>0.8632676281467123</x:v>
      </x:c>
      <x:c r="AW14" s="18" t="n">
        <x:v>0.9116832176768132</x:v>
      </x:c>
    </x:row>
    <x:row r="15">
      <x:c r="A15" s="8" t="str">
        <x:v>sensitivity_5min_horizon</x:v>
      </x:c>
      <x:c r="B15" s="16" t="n">
        <x:v>300</x:v>
      </x:c>
      <x:c r="C15" s="8" t="str">
        <x:v>actual_nibp_timing_plus_cuff</x:v>
      </x:c>
      <x:c r="D15" s="16" t="n">
        <x:v>65</x:v>
      </x:c>
      <x:c r="E15" s="16" t="n">
        <x:v>365</x:v>
      </x:c>
      <x:c r="F15" s="18" t="n">
        <x:v>41564.58333333333</x:v>
      </x:c>
      <x:c r="G15" s="18" t="n">
        <x:v>19510.166666666664</x:v>
      </x:c>
      <x:c r="H15" s="18" t="n">
        <x:v>38914.33333333333</x:v>
      </x:c>
      <x:c r="I15" s="18" t="n">
        <x:v>16859.916666666664</x:v>
      </x:c>
      <x:c r="J15" s="18" t="n">
        <x:v>22867.916666666664</x:v>
      </x:c>
      <x:c r="K15" s="18" t="n">
        <x:v>16046.416666666666</x:v>
      </x:c>
      <x:c r="L15" s="18" t="n">
        <x:v>18696.666666666664</x:v>
      </x:c>
      <x:c r="M15" s="18" t="n">
        <x:v>0.9362377825672898</x:v>
      </x:c>
      <x:c r="N15" s="18" t="n">
        <x:v>0.4056317979048669</x:v>
      </x:c>
      <x:c r="O15" s="18" t="n">
        <x:v>-0.5306059846624229</x:v>
      </x:c>
      <x:c r="P15" s="18" t="n">
        <x:v>0.5501779359430605</x:v>
      </x:c>
      <x:c r="Q15" s="18" t="n">
        <x:v>0.3860598466242294</x:v>
      </x:c>
      <x:c r="R15" s="18" t="n">
        <x:v>0.8582501337136745</x:v>
      </x:c>
      <x:c r="S15" s="18" t="n">
        <x:v>0.9017605633802817</x:v>
      </x:c>
      <x:c r="T15" s="18" t="n">
        <x:v>0.681209211456125</x:v>
      </x:c>
      <x:c r="U15" s="18" t="n">
        <x:v>0.6665148775557254</x:v>
      </x:c>
      <x:c r="V15" s="16" t="n">
        <x:v>3747</x:v>
      </x:c>
      <x:c r="W15" s="16" t="n">
        <x:v>33359</x:v>
      </x:c>
      <x:c r="X15" s="16" t="n">
        <x:v>10428</x:v>
      </x:c>
      <x:c r="Y15" s="16" t="n">
        <x:v>14608</x:v>
      </x:c>
      <x:c r="Z15" s="16" t="n">
        <x:v>124600</x:v>
      </x:c>
      <x:c r="AA15" s="18" t="n">
        <x:v>0.10098097342747804</x:v>
      </x:c>
      <x:c r="AB15" s="18" t="n">
        <x:v>0.2643386243386243</x:v>
      </x:c>
      <x:c r="AC15" s="18" t="n">
        <x:v>0.8950635020975806</x:v>
      </x:c>
      <x:c r="AD15" s="18" t="n">
        <x:v>0.9156463930199712</x:v>
      </x:c>
      <x:c r="AE15" s="18" t="n">
        <x:v>0.9532710651847854</x:v>
      </x:c>
      <x:c r="AF15" s="18" t="n">
        <x:v>0.3137482800502963</x:v>
      </x:c>
      <x:c r="AG15" s="18" t="n">
        <x:v>0.5223661187995461</x:v>
      </x:c>
      <x:c r="AH15" s="18" t="n">
        <x:v>-0.6326580039480665</x:v>
      </x:c>
      <x:c r="AI15" s="18" t="n">
        <x:v>-0.4047965366897104</x:v>
      </x:c>
      <x:c r="AJ15" s="18" t="n">
        <x:v>0.5025580081252736</x:v>
      </x:c>
      <x:c r="AK15" s="18" t="n">
        <x:v>0.5923317819041662</x:v>
      </x:c>
      <x:c r="AL15" s="18" t="n">
        <x:v>0.34377747511366996</x:v>
      </x:c>
      <x:c r="AM15" s="18" t="n">
        <x:v>0.4313292024743859</x:v>
      </x:c>
      <x:c r="AN15" s="18" t="n">
        <x:v>0.8131492436163837</x:v>
      </x:c>
      <x:c r="AO15" s="18" t="n">
        <x:v>0.8953225036170134</x:v>
      </x:c>
      <x:c r="AP15" s="18" t="n">
        <x:v>0.703218226706971</x:v>
      </x:c>
      <x:c r="AQ15" s="18" t="n">
        <x:v>1.1484718389935338</x:v>
      </x:c>
      <x:c r="AR15" s="18" t="n">
        <x:v>0.07911138400862631</x:v>
      </x:c>
      <x:c r="AS15" s="18" t="n">
        <x:v>0.12477960283244174</x:v>
      </x:c>
      <x:c r="AT15" s="18" t="n">
        <x:v>0.21533214969685407</x:v>
      </x:c>
      <x:c r="AU15" s="18" t="n">
        <x:v>0.31628466345394796</x:v>
      </x:c>
      <x:c r="AV15" s="18" t="n">
        <x:v>0.8747461122138132</x:v>
      </x:c>
      <x:c r="AW15" s="18" t="n">
        <x:v>0.9154362009699759</x:v>
      </x:c>
    </x:row>
    <x:row r="16">
      <x:c r="A16" s="8" t="str">
        <x:v>primary_10min_horizon</x:v>
      </x:c>
      <x:c r="B16" s="16" t="n">
        <x:v>600</x:v>
      </x:c>
      <x:c r="C16" s="8" t="str">
        <x:v>actual_nibp_timing_plus_cuff</x:v>
      </x:c>
      <x:c r="D16" s="16" t="n">
        <x:v>65</x:v>
      </x:c>
      <x:c r="E16" s="16" t="n">
        <x:v>365</x:v>
      </x:c>
      <x:c r="F16" s="18" t="n">
        <x:v>41564.58333333333</x:v>
      </x:c>
      <x:c r="G16" s="18" t="n">
        <x:v>23991.833333333336</x:v>
      </x:c>
      <x:c r="H16" s="18" t="n">
        <x:v>38486.75</x:v>
      </x:c>
      <x:c r="I16" s="18" t="n">
        <x:v>20914</x:v>
      </x:c>
      <x:c r="J16" s="18" t="n">
        <x:v>20011.916666666664</x:v>
      </x:c>
      <x:c r="K16" s="18" t="n">
        <x:v>18474.833333333336</x:v>
      </x:c>
      <x:c r="L16" s="18" t="n">
        <x:v>21552.666666666664</x:v>
      </x:c>
      <x:c r="M16" s="18" t="n">
        <x:v>0.9259505789183501</x:v>
      </x:c>
      <x:c r="N16" s="18" t="n">
        <x:v>0.5031687634705028</x:v>
      </x:c>
      <x:c r="O16" s="18" t="n">
        <x:v>-0.4227818154478471</x:v>
      </x:c>
      <x:c r="P16" s="18" t="n">
        <x:v>0.4814655906972082</x:v>
      </x:c>
      <x:c r="Q16" s="18" t="n">
        <x:v>0.4444849882211419</x:v>
      </x:c>
      <x:c r="R16" s="18" t="n">
        <x:v>0.8571947786816791</x:v>
      </x:c>
      <x:c r="S16" s="18" t="n">
        <x:v>0.970367162609422</x:v>
      </x:c>
      <x:c r="T16" s="18" t="n">
        <x:v>0.6047823918194288</x:v>
      </x:c>
      <x:c r="U16" s="18" t="n">
        <x:v>0.5926977370720452</x:v>
      </x:c>
      <x:c r="V16" s="16" t="n">
        <x:v>4421</x:v>
      </x:c>
      <x:c r="W16" s="16" t="n">
        <x:v>32685</x:v>
      </x:c>
      <x:c r="X16" s="16" t="n">
        <x:v>12653</x:v>
      </x:c>
      <x:c r="Y16" s="16" t="n">
        <x:v>18306</x:v>
      </x:c>
      <x:c r="Z16" s="16" t="n">
        <x:v>154775</x:v>
      </x:c>
      <x:c r="AA16" s="18" t="n">
        <x:v>0.11914515172748343</x:v>
      </x:c>
      <x:c r="AB16" s="18" t="n">
        <x:v>0.2589317090312756</x:v>
      </x:c>
      <x:c r="AC16" s="18" t="n">
        <x:v>0.8942344913653145</x:v>
      </x:c>
      <x:c r="AD16" s="18" t="n">
        <x:v>0.9032490414672524</x:v>
      </x:c>
      <x:c r="AE16" s="18" t="n">
        <x:v>0.9456030038193088</x:v>
      </x:c>
      <x:c r="AF16" s="18" t="n">
        <x:v>0.38047116654866514</x:v>
      </x:c>
      <x:c r="AG16" s="18" t="n">
        <x:v>0.6361677981562129</x:v>
      </x:c>
      <x:c r="AH16" s="18" t="n">
        <x:v>-0.5562704871646468</x:v>
      </x:c>
      <x:c r="AI16" s="18" t="n">
        <x:v>-0.2803053754423269</x:v>
      </x:c>
      <x:c r="AJ16" s="18" t="n">
        <x:v>0.43242313794348003</x:v>
      </x:c>
      <x:c r="AK16" s="18" t="n">
        <x:v>0.5229275102270604</x:v>
      </x:c>
      <x:c r="AL16" s="18" t="n">
        <x:v>0.402367264468425</x:v>
      </x:c>
      <x:c r="AM16" s="18" t="n">
        <x:v>0.49425686072506975</x:v>
      </x:c>
      <x:c r="AN16" s="18" t="n">
        <x:v>0.8156364103795793</x:v>
      </x:c>
      <x:c r="AO16" s="18" t="n">
        <x:v>0.8942634481050241</x:v>
      </x:c>
      <x:c r="AP16" s="18" t="n">
        <x:v>0.7439526762086447</x:v>
      </x:c>
      <x:c r="AQ16" s="18" t="n">
        <x:v>1.217824456884175</x:v>
      </x:c>
      <x:c r="AR16" s="18" t="n">
        <x:v>0.09406522448468448</x:v>
      </x:c>
      <x:c r="AS16" s="18" t="n">
        <x:v>0.14771782658499316</x:v>
      </x:c>
      <x:c r="AT16" s="18" t="n">
        <x:v>0.209206778705009</x:v>
      </x:c>
      <x:c r="AU16" s="18" t="n">
        <x:v>0.3092952410116814</x:v>
      </x:c>
      <x:c r="AV16" s="18" t="n">
        <x:v>0.8746915737631488</x:v>
      </x:c>
      <x:c r="AW16" s="18" t="n">
        <x:v>0.9149463681437352</x:v>
      </x:c>
    </x:row>
    <x:row r="17">
      <x:c r="A17" s="8" t="str">
        <x:v>no_maximum_horizon</x:v>
      </x:c>
      <x:c r="B17" s="16"/>
      <x:c r="C17" s="8" t="str">
        <x:v>actual_timing_only</x:v>
      </x:c>
      <x:c r="D17" s="16" t="n">
        <x:v>65</x:v>
      </x:c>
      <x:c r="E17" s="16" t="n">
        <x:v>365</x:v>
      </x:c>
      <x:c r="F17" s="18" t="n">
        <x:v>41564.58333333333</x:v>
      </x:c>
      <x:c r="G17" s="18" t="n">
        <x:v>56344.07541666669</x:v>
      </x:c>
      <x:c r="H17" s="18" t="n">
        <x:v>28390.451766666658</x:v>
      </x:c>
      <x:c r="I17" s="18" t="n">
        <x:v>43169.94385000002</x:v>
      </x:c>
      <x:c r="J17" s="18" t="n">
        <x:v>208.16666666666666</x:v>
      </x:c>
      <x:c r="K17" s="18" t="n">
        <x:v>28182.28509999999</x:v>
      </x:c>
      <x:c r="L17" s="18" t="n">
        <x:v>41356.416666666664</x:v>
      </x:c>
      <x:c r="M17" s="18" t="n">
        <x:v>0.6830443009372963</x:v>
      </x:c>
      <x:c r="N17" s="18" t="n">
        <x:v>1.0386232794346153</x:v>
      </x:c>
      <x:c r="O17" s="18" t="n">
        <x:v>0.3555789784973191</x:v>
      </x:c>
      <x:c r="P17" s="18" t="n">
        <x:v>0.0050082702621422484</x:v>
      </x:c>
      <x:c r="Q17" s="18" t="n">
        <x:v>0.678036030675154</x:v>
      </x:c>
      <x:c r="R17" s="18" t="n">
        <x:v>0.6814489109912406</x:v>
      </x:c>
      <x:c r="S17" s="18" t="n">
        <x:v>1.0438511681984057</x:v>
      </x:c>
      <x:c r="T17" s="18" t="n">
        <x:v>0.0011514320156295467</x:v>
      </x:c>
      <x:c r="U17" s="18" t="n">
        <x:v>0.009697990477297367</x:v>
      </x:c>
      <x:c r="V17" s="16" t="n">
        <x:v>15353</x:v>
      </x:c>
      <x:c r="W17" s="16" t="n">
        <x:v>21753</x:v>
      </x:c>
      <x:c r="X17" s="16" t="n">
        <x:v>21650</x:v>
      </x:c>
      <x:c r="Y17" s="16" t="n">
        <x:v>30850</x:v>
      </x:c>
      <x:c r="Z17" s="16" t="n">
        <x:v>412733</x:v>
      </x:c>
      <x:c r="AA17" s="18" t="n">
        <x:v>0.4137605778041287</x:v>
      </x:c>
      <x:c r="AB17" s="18" t="n">
        <x:v>0.41491230440775073</x:v>
      </x:c>
      <x:c r="AC17" s="18" t="n">
        <x:v>0.9304526999456697</x:v>
      </x:c>
      <x:c r="AD17" s="18" t="n">
        <x:v>0.6308867827350848</x:v>
      </x:c>
      <x:c r="AE17" s="18" t="n">
        <x:v>0.7353333753699869</x:v>
      </x:c>
      <x:c r="AF17" s="18" t="n">
        <x:v>0.5795680384467209</x:v>
      </x:c>
      <x:c r="AG17" s="18" t="n">
        <x:v>1.7081702852455527</x:v>
      </x:c>
      <x:c r="AH17" s="18" t="n">
        <x:v>-0.12090464472141502</x:v>
      </x:c>
      <x:c r="AI17" s="18" t="n">
        <x:v>1.0258955621700057</x:v>
      </x:c>
      <x:c r="AJ17" s="18" t="n">
        <x:v>0.0008395663251454664</x:v>
      </x:c>
      <x:c r="AK17" s="18" t="n">
        <x:v>0.011675918300075047</x:v>
      </x:c>
      <x:c r="AL17" s="18" t="n">
        <x:v>0.6264461453315011</x:v>
      </x:c>
      <x:c r="AM17" s="18" t="n">
        <x:v>0.7299785986434632</x:v>
      </x:c>
      <x:c r="AN17" s="18" t="n">
        <x:v>0.6288753197595784</x:v>
      </x:c>
      <x:c r="AO17" s="18" t="n">
        <x:v>0.7341353846912517</x:v>
      </x:c>
      <x:c r="AP17" s="18" t="n">
        <x:v>0.5816843143636842</x:v>
      </x:c>
      <x:c r="AQ17" s="18" t="n">
        <x:v>1.7187605082263977</x:v>
      </x:c>
      <x:c r="AR17" s="18" t="n">
        <x:v>0.35456371058159797</x:v>
      </x:c>
      <x:c r="AS17" s="18" t="n">
        <x:v>0.47168847951249004</x:v>
      </x:c>
      <x:c r="AT17" s="18" t="n">
        <x:v>0.3557758035314419</x:v>
      </x:c>
      <x:c r="AU17" s="18" t="n">
        <x:v>0.4727152075209225</x:v>
      </x:c>
      <x:c r="AV17" s="18" t="n">
        <x:v>0.9121350995763542</x:v>
      </x:c>
      <x:c r="AW17" s="18" t="n">
        <x:v>0.9471219612243771</x:v>
      </x:c>
    </x:row>
    <x:row r="18">
      <x:c r="A18" s="8" t="str">
        <x:v>sensitivity_5min_horizon</x:v>
      </x:c>
      <x:c r="B18" s="16" t="n">
        <x:v>300</x:v>
      </x:c>
      <x:c r="C18" s="8" t="str">
        <x:v>actual_timing_only</x:v>
      </x:c>
      <x:c r="D18" s="16" t="n">
        <x:v>65</x:v>
      </x:c>
      <x:c r="E18" s="16" t="n">
        <x:v>365</x:v>
      </x:c>
      <x:c r="F18" s="18" t="n">
        <x:v>41564.58333333333</x:v>
      </x:c>
      <x:c r="G18" s="18" t="n">
        <x:v>15845.01004999999</x:v>
      </x:c>
      <x:c r="H18" s="18" t="n">
        <x:v>32193.9566</x:v>
      </x:c>
      <x:c r="I18" s="18" t="n">
        <x:v>6474.383316666656</x:v>
      </x:c>
      <x:c r="J18" s="18" t="n">
        <x:v>22867.916666666664</x:v>
      </x:c>
      <x:c r="K18" s="18" t="n">
        <x:v>9326.039933333332</x:v>
      </x:c>
      <x:c r="L18" s="18" t="n">
        <x:v>18696.666666666664</x:v>
      </x:c>
      <x:c r="M18" s="18" t="n">
        <x:v>0.7745526123001355</x:v>
      </x:c>
      <x:c r="N18" s="18" t="n">
        <x:v>0.15576682832940683</x:v>
      </x:c>
      <x:c r="O18" s="18" t="n">
        <x:v>-0.6187857839707285</x:v>
      </x:c>
      <x:c r="P18" s="18" t="n">
        <x:v>0.5501779359430605</x:v>
      </x:c>
      <x:c r="Q18" s="18" t="n">
        <x:v>0.2243746763570748</x:v>
      </x:c>
      <x:c r="R18" s="18" t="n">
        <x:v>0.4988076270279907</x:v>
      </x:c>
      <x:c r="S18" s="18" t="n">
        <x:v>0.3462854332323047</x:v>
      </x:c>
      <x:c r="T18" s="18" t="n">
        <x:v>0.681209211456125</x:v>
      </x:c>
      <x:c r="U18" s="18" t="n">
        <x:v>0.6665148775557254</x:v>
      </x:c>
      <x:c r="V18" s="16" t="n">
        <x:v>9691</x:v>
      </x:c>
      <x:c r="W18" s="16" t="n">
        <x:v>27415</x:v>
      </x:c>
      <x:c r="X18" s="16" t="n">
        <x:v>4484</x:v>
      </x:c>
      <x:c r="Y18" s="16" t="n">
        <x:v>4728</x:v>
      </x:c>
      <x:c r="Z18" s="16" t="n">
        <x:v>134480</x:v>
      </x:c>
      <x:c r="AA18" s="18" t="n">
        <x:v>0.26117070015630894</x:v>
      </x:c>
      <x:c r="AB18" s="18" t="n">
        <x:v>0.683668430335097</x:v>
      </x:c>
      <x:c r="AC18" s="18" t="n">
        <x:v>0.9660364346876616</x:v>
      </x:c>
      <x:c r="AD18" s="18" t="n">
        <x:v>0.7427377826933291</x:v>
      </x:c>
      <x:c r="AE18" s="18" t="n">
        <x:v>0.8038719757094788</x:v>
      </x:c>
      <x:c r="AF18" s="18" t="n">
        <x:v>0.13563720572164506</x:v>
      </x:c>
      <x:c r="AG18" s="18" t="n">
        <x:v>0.18022798986013397</x:v>
      </x:c>
      <x:c r="AH18" s="18" t="n">
        <x:v>-0.6575728768147386</x:v>
      </x:c>
      <x:c r="AI18" s="18" t="n">
        <x:v>-0.5739266928892406</x:v>
      </x:c>
      <x:c r="AJ18" s="18" t="n">
        <x:v>0.5019288598802091</x:v>
      </x:c>
      <x:c r="AK18" s="18" t="n">
        <x:v>0.5928396047851556</x:v>
      </x:c>
      <x:c r="AL18" s="18" t="n">
        <x:v>0.19977397542742176</x:v>
      </x:c>
      <x:c r="AM18" s="18" t="n">
        <x:v>0.2526818902057774</x:v>
      </x:c>
      <x:c r="AN18" s="18" t="n">
        <x:v>0.4568120536952225</x:v>
      </x:c>
      <x:c r="AO18" s="18" t="n">
        <x:v>0.542745563855044</x:v>
      </x:c>
      <x:c r="AP18" s="18" t="n">
        <x:v>0.3045519241785267</x:v>
      </x:c>
      <x:c r="AQ18" s="18" t="n">
        <x:v>0.39385696503206263</x:v>
      </x:c>
      <x:c r="AR18" s="18" t="n">
        <x:v>0.23589524504397263</x:v>
      </x:c>
      <x:c r="AS18" s="18" t="n">
        <x:v>0.28932849910654845</x:v>
      </x:c>
      <x:c r="AT18" s="18" t="n">
        <x:v>0.6542438503418982</x:v>
      </x:c>
      <x:c r="AU18" s="18" t="n">
        <x:v>0.711612230450254</x:v>
      </x:c>
      <x:c r="AV18" s="18" t="n">
        <x:v>0.9613141957798472</x:v>
      </x:c>
      <x:c r="AW18" s="18" t="n">
        <x:v>0.9700025864716401</x:v>
      </x:c>
    </x:row>
    <x:row r="19">
      <x:c r="A19" s="8" t="str">
        <x:v>primary_10min_horizon</x:v>
      </x:c>
      <x:c r="B19" s="16" t="n">
        <x:v>600</x:v>
      </x:c>
      <x:c r="C19" s="8" t="str">
        <x:v>actual_timing_only</x:v>
      </x:c>
      <x:c r="D19" s="16" t="n">
        <x:v>65</x:v>
      </x:c>
      <x:c r="E19" s="16" t="n">
        <x:v>365</x:v>
      </x:c>
      <x:c r="F19" s="18" t="n">
        <x:v>41564.58333333333</x:v>
      </x:c>
      <x:c r="G19" s="18" t="n">
        <x:v>18772.83174999999</x:v>
      </x:c>
      <x:c r="H19" s="18" t="n">
        <x:v>31575.39335</x:v>
      </x:c>
      <x:c r="I19" s="18" t="n">
        <x:v>8783.641766666657</x:v>
      </x:c>
      <x:c r="J19" s="18" t="n">
        <x:v>20011.916666666664</x:v>
      </x:c>
      <x:c r="K19" s="18" t="n">
        <x:v>11563.47668333333</x:v>
      </x:c>
      <x:c r="L19" s="18" t="n">
        <x:v>21552.666666666664</x:v>
      </x:c>
      <x:c r="M19" s="18" t="n">
        <x:v>0.7596706334519574</x:v>
      </x:c>
      <x:c r="N19" s="18" t="n">
        <x:v>0.21132514901508676</x:v>
      </x:c>
      <x:c r="O19" s="18" t="n">
        <x:v>-0.5483454844368705</x:v>
      </x:c>
      <x:c r="P19" s="18" t="n">
        <x:v>0.4814655906972082</x:v>
      </x:c>
      <x:c r="Q19" s="18" t="n">
        <x:v>0.2782050427547491</x:v>
      </x:c>
      <x:c r="R19" s="18" t="n">
        <x:v>0.5365218542175755</x:v>
      </x:c>
      <x:c r="S19" s="18" t="n">
        <x:v>0.4075431547526984</x:v>
      </x:c>
      <x:c r="T19" s="18" t="n">
        <x:v>0.6047823918194288</x:v>
      </x:c>
      <x:c r="U19" s="18" t="n">
        <x:v>0.5926977370720452</x:v>
      </x:c>
      <x:c r="V19" s="16" t="n">
        <x:v>10645</x:v>
      </x:c>
      <x:c r="W19" s="16" t="n">
        <x:v>26461</x:v>
      </x:c>
      <x:c r="X19" s="16" t="n">
        <x:v>6429</x:v>
      </x:c>
      <x:c r="Y19" s="16" t="n">
        <x:v>6992</x:v>
      </x:c>
      <x:c r="Z19" s="16" t="n">
        <x:v>166089</x:v>
      </x:c>
      <x:c r="AA19" s="18" t="n">
        <x:v>0.2868808278984531</x:v>
      </x:c>
      <x:c r="AB19" s="18" t="n">
        <x:v>0.6234625746749444</x:v>
      </x:c>
      <x:c r="AC19" s="18" t="n">
        <x:v>0.9596027293579307</x:v>
      </x:c>
      <x:c r="AD19" s="18" t="n">
        <x:v>0.7229180028624301</x:v>
      </x:c>
      <x:c r="AE19" s="18" t="n">
        <x:v>0.7907560350264905</x:v>
      </x:c>
      <x:c r="AF19" s="18" t="n">
        <x:v>0.17941401437987348</x:v>
      </x:c>
      <x:c r="AG19" s="18" t="n">
        <x:v>0.2502021020689081</x:v>
      </x:c>
      <x:c r="AH19" s="18" t="n">
        <x:v>-0.601436189806203</x:v>
      </x:c>
      <x:c r="AI19" s="18" t="n">
        <x:v>-0.48814846686322994</x:v>
      </x:c>
      <x:c r="AJ19" s="18" t="n">
        <x:v>0.4316418059596243</x:v>
      </x:c>
      <x:c r="AK19" s="18" t="n">
        <x:v>0.5260186679285619</x:v>
      </x:c>
      <x:c r="AL19" s="18" t="n">
        <x:v>0.25150785496977646</x:v>
      </x:c>
      <x:c r="AM19" s="18" t="n">
        <x:v>0.30790049082218096</x:v>
      </x:c>
      <x:c r="AN19" s="18" t="n">
        <x:v>0.4959031431142647</x:v>
      </x:c>
      <x:c r="AO19" s="18" t="n">
        <x:v>0.5771209195566841</x:v>
      </x:c>
      <x:c r="AP19" s="18" t="n">
        <x:v>0.3533106067556379</x:v>
      </x:c>
      <x:c r="AQ19" s="18" t="n">
        <x:v>0.4716314786747305</x:v>
      </x:c>
      <x:c r="AR19" s="18" t="n">
        <x:v>0.2579085170085965</x:v>
      </x:c>
      <x:c r="AS19" s="18" t="n">
        <x:v>0.3213739001998756</x:v>
      </x:c>
      <x:c r="AT19" s="18" t="n">
        <x:v>0.5906936293196957</x:v>
      </x:c>
      <x:c r="AU19" s="18" t="n">
        <x:v>0.6534402863906729</x:v>
      </x:c>
      <x:c r="AV19" s="18" t="n">
        <x:v>0.9528432166885329</x:v>
      </x:c>
      <x:c r="AW19" s="18" t="n">
        <x:v>0.9651440681053112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30" hidden="0" customWidth="1"/>
    <x:col min="4" max="4" width="11" hidden="0" customWidth="1"/>
    <x:col min="5" max="5" width="10" hidden="0" customWidth="1"/>
    <x:col min="6" max="6" width="20" hidden="0" customWidth="1"/>
    <x:col min="7" max="7" width="20" hidden="0" customWidth="1"/>
    <x:col min="8" max="8" width="20" hidden="0" customWidth="1"/>
    <x:col min="9" max="9" width="23" hidden="0" customWidth="1"/>
    <x:col min="10" max="10" width="34" hidden="0" customWidth="1"/>
    <x:col min="11" max="11" width="32" hidden="0" customWidth="1"/>
    <x:col min="12" max="12" width="30" hidden="0" customWidth="1"/>
    <x:col min="13" max="13" width="20" hidden="0" customWidth="1"/>
    <x:col min="14" max="14" width="21" hidden="0" customWidth="1"/>
    <x:col min="15" max="15" width="21" hidden="0" customWidth="1"/>
    <x:col min="16" max="16" width="27" hidden="0" customWidth="1"/>
    <x:col min="17" max="17" width="30" hidden="0" customWidth="1"/>
    <x:col min="18" max="18" width="20" hidden="0" customWidth="1"/>
    <x:col min="19" max="19" width="21" hidden="0" customWidth="1"/>
    <x:col min="20" max="20" width="30" hidden="0" customWidth="1"/>
    <x:col min="21" max="21" width="34" hidden="0" customWidth="1"/>
    <x:col min="22" max="22" width="10" hidden="0" customWidth="1"/>
    <x:col min="23" max="23" width="10" hidden="0" customWidth="1"/>
    <x:col min="24" max="24" width="18" hidden="0" customWidth="1"/>
    <x:col min="25" max="25" width="10" hidden="0" customWidth="1"/>
    <x:col min="26" max="26" width="18" hidden="0" customWidth="1"/>
    <x:col min="27" max="27" width="29" hidden="0" customWidth="1"/>
    <x:col min="28" max="28" width="27" hidden="0" customWidth="1"/>
    <x:col min="29" max="29" width="27" hidden="0" customWidth="1"/>
    <x:col min="30" max="30" width="20" hidden="0" customWidth="1"/>
    <x:col min="31" max="31" width="20" hidden="0" customWidth="1"/>
    <x:col min="32" max="32" width="21" hidden="0" customWidth="1"/>
    <x:col min="33" max="33" width="21" hidden="0" customWidth="1"/>
    <x:col min="34" max="34" width="22" hidden="0" customWidth="1"/>
    <x:col min="35" max="35" width="22" hidden="0" customWidth="1"/>
    <x:col min="36" max="36" width="34" hidden="0" customWidth="1"/>
    <x:col min="37" max="37" width="34" hidden="0" customWidth="1"/>
    <x:col min="38" max="38" width="34" hidden="0" customWidth="1"/>
    <x:col min="39" max="39" width="34" hidden="0" customWidth="1"/>
    <x:col min="40" max="40" width="26" hidden="0" customWidth="1"/>
    <x:col min="41" max="41" width="27" hidden="0" customWidth="1"/>
    <x:col min="42" max="42" width="26" hidden="0" customWidth="1"/>
    <x:col min="43" max="43" width="27" hidden="0" customWidth="1"/>
    <x:col min="44" max="44" width="34" hidden="0" customWidth="1"/>
    <x:col min="45" max="45" width="34" hidden="0" customWidth="1"/>
    <x:col min="46" max="46" width="34" hidden="0" customWidth="1"/>
    <x:col min="47" max="47" width="34" hidden="0" customWidth="1"/>
    <x:col min="48" max="48" width="34" hidden="0" customWidth="1"/>
    <x:col min="49" max="49" width="34" hidden="0" customWidth="1"/>
  </x:cols>
  <x:sheetData>
    <x:row r="1" ht="32" customHeight="1">
      <x:c r="A1" s="14" t="str">
        <x:v>horizon_rule</x:v>
      </x:c>
      <x:c r="B1" s="14" t="str">
        <x:v>display_validity_sec</x:v>
      </x:c>
      <x:c r="C1" s="14" t="str">
        <x:v>mechanism</x:v>
      </x:c>
      <x:c r="D1" s="14" t="str">
        <x:v>threshold</x:v>
      </x:c>
      <x:c r="E1" s="14" t="str">
        <x:v>n_cases</x:v>
      </x:c>
      <x:c r="F1" s="14" t="str">
        <x:v>true_auc_total</x:v>
      </x:c>
      <x:c r="G1" s="14" t="str">
        <x:v>display_auc_total</x:v>
      </x:c>
      <x:c r="H1" s="14" t="str">
        <x:v>hidden_auc_total</x:v>
      </x:c>
      <x:c r="I1" s="14" t="str">
        <x:v>overdisplay_auc_total</x:v>
      </x:c>
      <x:c r="J1" s="14" t="str">
        <x:v>hidden_auc_display_unavailable_total</x:v>
      </x:c>
      <x:c r="K1" s="14" t="str">
        <x:v>hidden_auc_display_valid_total</x:v>
      </x:c>
      <x:c r="L1" s="14" t="str">
        <x:v>true_auc_display_valid_total</x:v>
      </x:c>
      <x:c r="M1" s="14" t="str">
        <x:v>HDR</x:v>
      </x:c>
      <x:c r="N1" s="14" t="str">
        <x:v>ODR</x:v>
      </x:c>
      <x:c r="O1" s="14" t="str">
        <x:v>NetBias</x:v>
      </x:c>
      <x:c r="P1" s="14" t="str">
        <x:v>HDR_unavailable_component</x:v>
      </x:c>
      <x:c r="Q1" s="14" t="str">
        <x:v>HDR_valid_mismatch_component</x:v>
      </x:c>
      <x:c r="R1" s="14" t="str">
        <x:v>HDR_display_valid</x:v>
      </x:c>
      <x:c r="S1" s="14" t="str">
        <x:v>ODR_display_valid</x:v>
      </x:c>
      <x:c r="T1" s="14" t="str">
        <x:v>display_unavailable_fraction</x:v>
      </x:c>
      <x:c r="U1" s="14" t="str">
        <x:v>display_unavailable_fraction_all_grid</x:v>
      </x:c>
      <x:c r="V1" s="14" t="str">
        <x:v>tp</x:v>
      </x:c>
      <x:c r="W1" s="14" t="str">
        <x:v>fn_full</x:v>
      </x:c>
      <x:c r="X1" s="14" t="str">
        <x:v>fn_display_valid</x:v>
      </x:c>
      <x:c r="Y1" s="14" t="str">
        <x:v>fp</x:v>
      </x:c>
      <x:c r="Z1" s="14" t="str">
        <x:v>tn_display_valid</x:v>
      </x:c>
      <x:c r="AA1" s="14" t="str">
        <x:v>sensitivity_full_trajectory</x:v>
      </x:c>
      <x:c r="AB1" s="14" t="str">
        <x:v>sensitivity_display_valid</x:v>
      </x:c>
      <x:c r="AC1" s="14" t="str">
        <x:v>specificity_display_valid</x:v>
      </x:c>
      <x:c r="AD1" s="14" t="str">
        <x:v>HDR_ci_low</x:v>
      </x:c>
      <x:c r="AE1" s="14" t="str">
        <x:v>HDR_ci_high</x:v>
      </x:c>
      <x:c r="AF1" s="14" t="str">
        <x:v>ODR_ci_low</x:v>
      </x:c>
      <x:c r="AG1" s="14" t="str">
        <x:v>ODR_ci_high</x:v>
      </x:c>
      <x:c r="AH1" s="14" t="str">
        <x:v>NetBias_ci_low</x:v>
      </x:c>
      <x:c r="AI1" s="14" t="str">
        <x:v>NetBias_ci_high</x:v>
      </x:c>
      <x:c r="AJ1" s="14" t="str">
        <x:v>HDR_unavailable_component_ci_low</x:v>
      </x:c>
      <x:c r="AK1" s="14" t="str">
        <x:v>HDR_unavailable_component_ci_high</x:v>
      </x:c>
      <x:c r="AL1" s="14" t="str">
        <x:v>HDR_valid_mismatch_component_ci_low</x:v>
      </x:c>
      <x:c r="AM1" s="14" t="str">
        <x:v>HDR_valid_mismatch_component_ci_high</x:v>
      </x:c>
      <x:c r="AN1" s="14" t="str">
        <x:v>HDR_display_valid_ci_low</x:v>
      </x:c>
      <x:c r="AO1" s="14" t="str">
        <x:v>HDR_display_valid_ci_high</x:v>
      </x:c>
      <x:c r="AP1" s="14" t="str">
        <x:v>ODR_display_valid_ci_low</x:v>
      </x:c>
      <x:c r="AQ1" s="14" t="str">
        <x:v>ODR_display_valid_ci_high</x:v>
      </x:c>
      <x:c r="AR1" s="14" t="str">
        <x:v>sensitivity_full_trajectory_ci_low</x:v>
      </x:c>
      <x:c r="AS1" s="14" t="str">
        <x:v>sensitivity_full_trajectory_ci_high</x:v>
      </x:c>
      <x:c r="AT1" s="14" t="str">
        <x:v>sensitivity_display_valid_ci_low</x:v>
      </x:c>
      <x:c r="AU1" s="14" t="str">
        <x:v>sensitivity_display_valid_ci_high</x:v>
      </x:c>
      <x:c r="AV1" s="14" t="str">
        <x:v>specificity_display_valid_ci_low</x:v>
      </x:c>
      <x:c r="AW1" s="14" t="str">
        <x:v>specificity_display_valid_ci_high</x:v>
      </x:c>
    </x:row>
    <x:row r="2">
      <x:c r="A2" s="8" t="str">
        <x:v>no_maximum_horizon</x:v>
      </x:c>
      <x:c r="B2" s="16"/>
      <x:c r="C2" s="8" t="str">
        <x:v>actual_nibp_timing_plus_cuff</x:v>
      </x:c>
      <x:c r="D2" s="16" t="n">
        <x:v>55</x:v>
      </x:c>
      <x:c r="E2" s="16" t="n">
        <x:v>365</x:v>
      </x:c>
      <x:c r="F2" s="18" t="n">
        <x:v>10446.666666666666</x:v>
      </x:c>
      <x:c r="G2" s="18" t="n">
        <x:v>6486.166666666666</x:v>
      </x:c>
      <x:c r="H2" s="18" t="n">
        <x:v>10231.583333333332</x:v>
      </x:c>
      <x:c r="I2" s="18" t="n">
        <x:v>6271.083333333333</x:v>
      </x:c>
      <x:c r="J2" s="18" t="n">
        <x:v>112.08333333333333</x:v>
      </x:c>
      <x:c r="K2" s="18" t="n">
        <x:v>10119.5</x:v>
      </x:c>
      <x:c r="L2" s="18" t="n">
        <x:v>10334.583333333332</x:v>
      </x:c>
      <x:c r="M2" s="18" t="n">
        <x:v>0.979411295469049</x:v>
      </x:c>
      <x:c r="N2" s="18" t="n">
        <x:v>0.6002951499680919</x:v>
      </x:c>
      <x:c r="O2" s="18" t="n">
        <x:v>-0.3791161455009573</x:v>
      </x:c>
      <x:c r="P2" s="18" t="n">
        <x:v>0.010729100191448628</x:v>
      </x:c>
      <x:c r="Q2" s="18" t="n">
        <x:v>0.9686821952776006</x:v>
      </x:c>
      <x:c r="R2" s="18" t="n">
        <x:v>0.9791880014514375</x:v>
      </x:c>
      <x:c r="S2" s="18" t="n">
        <x:v>0.6068056283514092</x:v>
      </x:c>
      <x:c r="T2" s="18" t="n">
        <x:v>0.0011514320156295467</x:v>
      </x:c>
      <x:c r="U2" s="18" t="n">
        <x:v>0.009697990477297367</x:v>
      </x:c>
      <x:c r="V2" s="16" t="n">
        <x:v>222</x:v>
      </x:c>
      <x:c r="W2" s="16" t="n">
        <x:v>5949</x:v>
      </x:c>
      <x:c r="X2" s="16" t="n">
        <x:v>5913</x:v>
      </x:c>
      <x:c r="Y2" s="16" t="n">
        <x:v>6497</x:v>
      </x:c>
      <x:c r="Z2" s="16" t="n">
        <x:v>467954</x:v>
      </x:c>
      <x:c r="AA2" s="18" t="n">
        <x:v>0.03597472046669908</x:v>
      </x:c>
      <x:c r="AB2" s="18" t="n">
        <x:v>0.036185819070904644</x:v>
      </x:c>
      <x:c r="AC2" s="18" t="n">
        <x:v>0.9863062782036501</x:v>
      </x:c>
      <x:c r="AD2" s="18" t="n">
        <x:v>0.9589334350764208</x:v>
      </x:c>
      <x:c r="AE2" s="18" t="n">
        <x:v>0.9934030590405474</x:v>
      </x:c>
      <x:c r="AF2" s="18" t="n">
        <x:v>0.2627198271963828</x:v>
      </x:c>
      <x:c r="AG2" s="18" t="n">
        <x:v>1.0367782950565374</x:v>
      </x:c>
      <x:c r="AH2" s="18" t="n">
        <x:v>-0.7142415608516745</x:v>
      </x:c>
      <x:c r="AI2" s="18" t="n">
        <x:v>0.06730876447452411</x:v>
      </x:c>
      <x:c r="AJ2" s="18" t="n">
        <x:v>0.0017671742724250912</x:v>
      </x:c>
      <x:c r="AK2" s="18" t="n">
        <x:v>0.027349999172832193</x:v>
      </x:c>
      <x:c r="AL2" s="18" t="n">
        <x:v>0.9407178629158749</x:v>
      </x:c>
      <x:c r="AM2" s="18" t="n">
        <x:v>0.9899874649951609</x:v>
      </x:c>
      <x:c r="AN2" s="18" t="n">
        <x:v>0.958355944920945</x:v>
      </x:c>
      <x:c r="AO2" s="18" t="n">
        <x:v>0.9933636778937113</x:v>
      </x:c>
      <x:c r="AP2" s="18" t="n">
        <x:v>0.2667176548778054</x:v>
      </x:c>
      <x:c r="AQ2" s="18" t="n">
        <x:v>1.0433381723123096</x:v>
      </x:c>
      <x:c r="AR2" s="18" t="n">
        <x:v>0.01906525737525365</x:v>
      </x:c>
      <x:c r="AS2" s="18" t="n">
        <x:v>0.05674902455699363</x:v>
      </x:c>
      <x:c r="AT2" s="18" t="n">
        <x:v>0.019143006140608636</x:v>
      </x:c>
      <x:c r="AU2" s="18" t="n">
        <x:v>0.05690391894420218</x:v>
      </x:c>
      <x:c r="AV2" s="18" t="n">
        <x:v>0.9793112459661029</x:v>
      </x:c>
      <x:c r="AW2" s="18" t="n">
        <x:v>0.992249603341928</x:v>
      </x:c>
    </x:row>
    <x:row r="3">
      <x:c r="A3" s="8" t="str">
        <x:v>sensitivity_5min_horizon</x:v>
      </x:c>
      <x:c r="B3" s="16" t="n">
        <x:v>300</x:v>
      </x:c>
      <x:c r="C3" s="8" t="str">
        <x:v>actual_nibp_timing_plus_cuff</x:v>
      </x:c>
      <x:c r="D3" s="16" t="n">
        <x:v>55</x:v>
      </x:c>
      <x:c r="E3" s="16" t="n">
        <x:v>365</x:v>
      </x:c>
      <x:c r="F3" s="18" t="n">
        <x:v>10446.666666666666</x:v>
      </x:c>
      <x:c r="G3" s="18" t="n">
        <x:v>2663.5</x:v>
      </x:c>
      <x:c r="H3" s="18" t="n">
        <x:v>10249.666666666666</x:v>
      </x:c>
      <x:c r="I3" s="18" t="n">
        <x:v>2466.5</x:v>
      </x:c>
      <x:c r="J3" s="18" t="n">
        <x:v>4283.25</x:v>
      </x:c>
      <x:c r="K3" s="18" t="n">
        <x:v>5966.416666666666</x:v>
      </x:c>
      <x:c r="L3" s="18" t="n">
        <x:v>6163.416666666666</x:v>
      </x:c>
      <x:c r="M3" s="18" t="n">
        <x:v>0.9811423101467773</x:v>
      </x:c>
      <x:c r="N3" s="18" t="n">
        <x:v>0.236104020421187</x:v>
      </x:c>
      <x:c r="O3" s="18" t="n">
        <x:v>-0.7450382897255903</x:v>
      </x:c>
      <x:c r="P3" s="18" t="n">
        <x:v>0.41001116783663055</x:v>
      </x:c>
      <x:c r="Q3" s="18" t="n">
        <x:v>0.5711311423101467</x:v>
      </x:c>
      <x:c r="R3" s="18" t="n">
        <x:v>0.968037208799232</x:v>
      </x:c>
      <x:c r="S3" s="18" t="n">
        <x:v>0.4001838806938792</x:v>
      </x:c>
      <x:c r="T3" s="18" t="n">
        <x:v>0.681209211456125</x:v>
      </x:c>
      <x:c r="U3" s="18" t="n">
        <x:v>0.6665148775557254</x:v>
      </x:c>
      <x:c r="V3" s="16" t="n">
        <x:v>200</x:v>
      </x:c>
      <x:c r="W3" s="16" t="n">
        <x:v>5971</x:v>
      </x:c>
      <x:c r="X3" s="16" t="n">
        <x:v>2644</x:v>
      </x:c>
      <x:c r="Y3" s="16" t="n">
        <x:v>2485</x:v>
      </x:c>
      <x:c r="Z3" s="16" t="n">
        <x:v>148054</x:v>
      </x:c>
      <x:c r="AA3" s="18" t="n">
        <x:v>0.03240965807810728</x:v>
      </x:c>
      <x:c r="AB3" s="18" t="n">
        <x:v>0.07032348804500703</x:v>
      </x:c>
      <x:c r="AC3" s="18" t="n">
        <x:v>0.9834926497452487</x:v>
      </x:c>
      <x:c r="AD3" s="18" t="n">
        <x:v>0.960983297731516</x:v>
      </x:c>
      <x:c r="AE3" s="18" t="n">
        <x:v>0.9945083497724351</x:v>
      </x:c>
      <x:c r="AF3" s="18" t="n">
        <x:v>0.1287942618528337</x:v>
      </x:c>
      <x:c r="AG3" s="18" t="n">
        <x:v>0.3720228509792426</x:v>
      </x:c>
      <x:c r="AH3" s="18" t="n">
        <x:v>-0.8585199893995021</x:v>
      </x:c>
      <x:c r="AI3" s="18" t="n">
        <x:v>-0.6025191318241508</x:v>
      </x:c>
      <x:c r="AJ3" s="18" t="n">
        <x:v>0.34331549444111226</x:v>
      </x:c>
      <x:c r="AK3" s="18" t="n">
        <x:v>0.47653604993472976</x:v>
      </x:c>
      <x:c r="AL3" s="18" t="n">
        <x:v>0.500527768666181</x:v>
      </x:c>
      <x:c r="AM3" s="18" t="n">
        <x:v>0.6399248103957735</x:v>
      </x:c>
      <x:c r="AN3" s="18" t="n">
        <x:v>0.9329585322363156</x:v>
      </x:c>
      <x:c r="AO3" s="18" t="n">
        <x:v>0.9908800072039524</x:v>
      </x:c>
      <x:c r="AP3" s="18" t="n">
        <x:v>0.21687354582929894</x:v>
      </x:c>
      <x:c r="AQ3" s="18" t="n">
        <x:v>0.6430488431211486</x:v>
      </x:c>
      <x:c r="AR3" s="18" t="n">
        <x:v>0.01571847171879979</x:v>
      </x:c>
      <x:c r="AS3" s="18" t="n">
        <x:v>0.05455312887713292</x:v>
      </x:c>
      <x:c r="AT3" s="18" t="n">
        <x:v>0.0340335272747327</x:v>
      </x:c>
      <x:c r="AU3" s="18" t="n">
        <x:v>0.11739104021413839</x:v>
      </x:c>
      <x:c r="AV3" s="18" t="n">
        <x:v>0.9757927984795927</x:v>
      </x:c>
      <x:c r="AW3" s="18" t="n">
        <x:v>0.9895280468347811</x:v>
      </x:c>
    </x:row>
    <x:row r="4">
      <x:c r="A4" s="8" t="str">
        <x:v>primary_10min_horizon</x:v>
      </x:c>
      <x:c r="B4" s="16" t="n">
        <x:v>600</x:v>
      </x:c>
      <x:c r="C4" s="8" t="str">
        <x:v>actual_nibp_timing_plus_cuff</x:v>
      </x:c>
      <x:c r="D4" s="16" t="n">
        <x:v>55</x:v>
      </x:c>
      <x:c r="E4" s="16" t="n">
        <x:v>365</x:v>
      </x:c>
      <x:c r="F4" s="18" t="n">
        <x:v>10446.666666666666</x:v>
      </x:c>
      <x:c r="G4" s="18" t="n">
        <x:v>3173</x:v>
      </x:c>
      <x:c r="H4" s="18" t="n">
        <x:v>10241.916666666666</x:v>
      </x:c>
      <x:c r="I4" s="18" t="n">
        <x:v>2968.25</x:v>
      </x:c>
      <x:c r="J4" s="18" t="n">
        <x:v>3803</x:v>
      </x:c>
      <x:c r="K4" s="18" t="n">
        <x:v>6438.916666666666</x:v>
      </x:c>
      <x:c r="L4" s="18" t="n">
        <x:v>6643.666666666666</x:v>
      </x:c>
      <x:c r="M4" s="18" t="n">
        <x:v>0.9804004467134653</x:v>
      </x:c>
      <x:c r="N4" s="18" t="n">
        <x:v>0.2841336949585195</x:v>
      </x:c>
      <x:c r="O4" s="18" t="n">
        <x:v>-0.6962667517549458</x:v>
      </x:c>
      <x:c r="P4" s="18" t="n">
        <x:v>0.36403956604977666</x:v>
      </x:c>
      <x:c r="Q4" s="18" t="n">
        <x:v>0.6163608806636885</x:v>
      </x:c>
      <x:c r="R4" s="18" t="n">
        <x:v>0.9691811750539361</x:v>
      </x:c>
      <x:c r="S4" s="18" t="n">
        <x:v>0.44677888716070446</x:v>
      </x:c>
      <x:c r="T4" s="18" t="n">
        <x:v>0.6047823918194288</x:v>
      </x:c>
      <x:c r="U4" s="18" t="n">
        <x:v>0.5926977370720452</x:v>
      </x:c>
      <x:c r="V4" s="16" t="n">
        <x:v>205</x:v>
      </x:c>
      <x:c r="W4" s="16" t="n">
        <x:v>5966</x:v>
      </x:c>
      <x:c r="X4" s="16" t="n">
        <x:v>3013</x:v>
      </x:c>
      <x:c r="Y4" s="16" t="n">
        <x:v>3061</x:v>
      </x:c>
      <x:c r="Z4" s="16" t="n">
        <x:v>183876</x:v>
      </x:c>
      <x:c r="AA4" s="18" t="n">
        <x:v>0.03321989953005996</x:v>
      </x:c>
      <x:c r="AB4" s="18" t="n">
        <x:v>0.0637041640770665</x:v>
      </x:c>
      <x:c r="AC4" s="18" t="n">
        <x:v>0.9836254994998315</x:v>
      </x:c>
      <x:c r="AD4" s="18" t="n">
        <x:v>0.9610659816731982</x:v>
      </x:c>
      <x:c r="AE4" s="18" t="n">
        <x:v>0.9934182065018117</x:v>
      </x:c>
      <x:c r="AF4" s="18" t="n">
        <x:v>0.1579886432269256</x:v>
      </x:c>
      <x:c r="AG4" s="18" t="n">
        <x:v>0.4478669539393623</x:v>
      </x:c>
      <x:c r="AH4" s="18" t="n">
        <x:v>-0.825432118673983</x:v>
      </x:c>
      <x:c r="AI4" s="18" t="n">
        <x:v>-0.5325962130781186</x:v>
      </x:c>
      <x:c r="AJ4" s="18" t="n">
        <x:v>0.304228771839127</x:v>
      </x:c>
      <x:c r="AK4" s="18" t="n">
        <x:v>0.4236367711999107</x:v>
      </x:c>
      <x:c r="AL4" s="18" t="n">
        <x:v>0.5520137703495444</x:v>
      </x:c>
      <x:c r="AM4" s="18" t="n">
        <x:v>0.6823136595753942</x:v>
      </x:c>
      <x:c r="AN4" s="18" t="n">
        <x:v>0.9388255872238036</x:v>
      </x:c>
      <x:c r="AO4" s="18" t="n">
        <x:v>0.989821687111869</x:v>
      </x:c>
      <x:c r="AP4" s="18" t="n">
        <x:v>0.25330665007125863</x:v>
      </x:c>
      <x:c r="AQ4" s="18" t="n">
        <x:v>0.70583031447837</x:v>
      </x:c>
      <x:c r="AR4" s="18" t="n">
        <x:v>0.01770452171437987</x:v>
      </x:c>
      <x:c r="AS4" s="18" t="n">
        <x:v>0.05143906593990434</x:v>
      </x:c>
      <x:c r="AT4" s="18" t="n">
        <x:v>0.03364878248116574</x:v>
      </x:c>
      <x:c r="AU4" s="18" t="n">
        <x:v>0.09915230334807164</x:v>
      </x:c>
      <x:c r="AV4" s="18" t="n">
        <x:v>0.9765154526110957</x:v>
      </x:c>
      <x:c r="AW4" s="18" t="n">
        <x:v>0.9896847084366798</x:v>
      </x:c>
    </x:row>
    <x:row r="5">
      <x:c r="A5" s="8" t="str">
        <x:v>no_maximum_horizon</x:v>
      </x:c>
      <x:c r="B5" s="16"/>
      <x:c r="C5" s="8" t="str">
        <x:v>actual_timing_only</x:v>
      </x:c>
      <x:c r="D5" s="16" t="n">
        <x:v>55</x:v>
      </x:c>
      <x:c r="E5" s="16" t="n">
        <x:v>365</x:v>
      </x:c>
      <x:c r="F5" s="18" t="n">
        <x:v>10446.666666666666</x:v>
      </x:c>
      <x:c r="G5" s="18" t="n">
        <x:v>17310.090716666706</x:v>
      </x:c>
      <x:c r="H5" s="18" t="n">
        <x:v>8339.31</x:v>
      </x:c>
      <x:c r="I5" s="18" t="n">
        <x:v>15202.73405000004</x:v>
      </x:c>
      <x:c r="J5" s="18" t="n">
        <x:v>112.08333333333333</x:v>
      </x:c>
      <x:c r="K5" s="18" t="n">
        <x:v>8227.226666666667</x:v>
      </x:c>
      <x:c r="L5" s="18" t="n">
        <x:v>10334.583333333332</x:v>
      </x:c>
      <x:c r="M5" s="18" t="n">
        <x:v>0.7982747287811104</x:v>
      </x:c>
      <x:c r="N5" s="18" t="n">
        <x:v>1.4552712874920268</x:v>
      </x:c>
      <x:c r="O5" s="18" t="n">
        <x:v>0.6569965587109164</x:v>
      </x:c>
      <x:c r="P5" s="18" t="n">
        <x:v>0.010729100191448628</x:v>
      </x:c>
      <x:c r="Q5" s="18" t="n">
        <x:v>0.7875456285896619</x:v>
      </x:c>
      <x:c r="R5" s="18" t="n">
        <x:v>0.796086924968754</x:v>
      </x:c>
      <x:c r="S5" s="18" t="n">
        <x:v>1.4710543772930733</x:v>
      </x:c>
      <x:c r="T5" s="18" t="n">
        <x:v>0.0011514320156295467</x:v>
      </x:c>
      <x:c r="U5" s="18" t="n">
        <x:v>0.009697990477297367</x:v>
      </x:c>
      <x:c r="V5" s="16" t="n">
        <x:v>1465</x:v>
      </x:c>
      <x:c r="W5" s="16" t="n">
        <x:v>4706</x:v>
      </x:c>
      <x:c r="X5" s="16" t="n">
        <x:v>4670</x:v>
      </x:c>
      <x:c r="Y5" s="16" t="n">
        <x:v>6224</x:v>
      </x:c>
      <x:c r="Z5" s="16" t="n">
        <x:v>468227</x:v>
      </x:c>
      <x:c r="AA5" s="18" t="n">
        <x:v>0.2374007454221358</x:v>
      </x:c>
      <x:c r="AB5" s="18" t="n">
        <x:v>0.23879380603096984</x:v>
      </x:c>
      <x:c r="AC5" s="18" t="n">
        <x:v>0.9868816800891979</x:v>
      </x:c>
      <x:c r="AD5" s="18" t="n">
        <x:v>0.7312394184578943</x:v>
      </x:c>
      <x:c r="AE5" s="18" t="n">
        <x:v>0.8604601918107475</x:v>
      </x:c>
      <x:c r="AF5" s="18" t="n">
        <x:v>0.27404163521083047</x:v>
      </x:c>
      <x:c r="AG5" s="18" t="n">
        <x:v>3.35030186375908</x:v>
      </x:c>
      <x:c r="AH5" s="18" t="n">
        <x:v>-0.5430183978000699</x:v>
      </x:c>
      <x:c r="AI5" s="18" t="n">
        <x:v>2.5475909291222294</x:v>
      </x:c>
      <x:c r="AJ5" s="18" t="n">
        <x:v>0.001607510889553127</x:v>
      </x:c>
      <x:c r="AK5" s="18" t="n">
        <x:v>0.028399135514458062</x:v>
      </x:c>
      <x:c r="AL5" s="18" t="n">
        <x:v>0.7197471195322945</x:v>
      </x:c>
      <x:c r="AM5" s="18" t="n">
        <x:v>0.8515380518455816</x:v>
      </x:c>
      <x:c r="AN5" s="18" t="n">
        <x:v>0.7273467930051911</x:v>
      </x:c>
      <x:c r="AO5" s="18" t="n">
        <x:v>0.8582091610700258</x:v>
      </x:c>
      <x:c r="AP5" s="18" t="n">
        <x:v>0.2781142153089009</x:v>
      </x:c>
      <x:c r="AQ5" s="18" t="n">
        <x:v>3.3764719091006756</x:v>
      </x:c>
      <x:c r="AR5" s="18" t="n">
        <x:v>0.1824565268220348</x:v>
      </x:c>
      <x:c r="AS5" s="18" t="n">
        <x:v>0.29252104030633563</x:v>
      </x:c>
      <x:c r="AT5" s="18" t="n">
        <x:v>0.18348130681439545</x:v>
      </x:c>
      <x:c r="AU5" s="18" t="n">
        <x:v>0.2952415332655573</x:v>
      </x:c>
      <x:c r="AV5" s="18" t="n">
        <x:v>0.9770940960990893</x:v>
      </x:c>
      <x:c r="AW5" s="18" t="n">
        <x:v>0.994332538318089</x:v>
      </x:c>
    </x:row>
    <x:row r="6">
      <x:c r="A6" s="8" t="str">
        <x:v>sensitivity_5min_horizon</x:v>
      </x:c>
      <x:c r="B6" s="16" t="n">
        <x:v>300</x:v>
      </x:c>
      <x:c r="C6" s="8" t="str">
        <x:v>actual_timing_only</x:v>
      </x:c>
      <x:c r="D6" s="16" t="n">
        <x:v>55</x:v>
      </x:c>
      <x:c r="E6" s="16" t="n">
        <x:v>365</x:v>
      </x:c>
      <x:c r="F6" s="18" t="n">
        <x:v>10446.666666666666</x:v>
      </x:c>
      <x:c r="G6" s="18" t="n">
        <x:v>4283.832016666663</x:v>
      </x:c>
      <x:c r="H6" s="18" t="n">
        <x:v>8384.394833333334</x:v>
      </x:c>
      <x:c r="I6" s="18" t="n">
        <x:v>2221.5601833333285</x:v>
      </x:c>
      <x:c r="J6" s="18" t="n">
        <x:v>4283.25</x:v>
      </x:c>
      <x:c r="K6" s="18" t="n">
        <x:v>4101.144833333333</x:v>
      </x:c>
      <x:c r="L6" s="18" t="n">
        <x:v>6163.416666666666</x:v>
      </x:c>
      <x:c r="M6" s="18" t="n">
        <x:v>0.8025904435226549</x:v>
      </x:c>
      <x:c r="N6" s="18" t="n">
        <x:v>0.21265732450542393</x:v>
      </x:c>
      <x:c r="O6" s="18" t="n">
        <x:v>-0.5899331190172308</x:v>
      </x:c>
      <x:c r="P6" s="18" t="n">
        <x:v>0.41001116783663055</x:v>
      </x:c>
      <x:c r="Q6" s="18" t="n">
        <x:v>0.39257927568602424</x:v>
      </x:c>
      <x:c r="R6" s="18" t="n">
        <x:v>0.665401197928638</x:v>
      </x:c>
      <x:c r="S6" s="18" t="n">
        <x:v>0.3604429658874264</x:v>
      </x:c>
      <x:c r="T6" s="18" t="n">
        <x:v>0.681209211456125</x:v>
      </x:c>
      <x:c r="U6" s="18" t="n">
        <x:v>0.6665148775557254</x:v>
      </x:c>
      <x:c r="V6" s="16" t="n">
        <x:v>1266</x:v>
      </x:c>
      <x:c r="W6" s="16" t="n">
        <x:v>4905</x:v>
      </x:c>
      <x:c r="X6" s="16" t="n">
        <x:v>1578</x:v>
      </x:c>
      <x:c r="Y6" s="16" t="n">
        <x:v>1246</x:v>
      </x:c>
      <x:c r="Z6" s="16" t="n">
        <x:v>149293</x:v>
      </x:c>
      <x:c r="AA6" s="18" t="n">
        <x:v>0.20515313563441906</x:v>
      </x:c>
      <x:c r="AB6" s="18" t="n">
        <x:v>0.4451476793248945</x:v>
      </x:c>
      <x:c r="AC6" s="18" t="n">
        <x:v>0.9917230750835332</x:v>
      </x:c>
      <x:c r="AD6" s="18" t="n">
        <x:v>0.7335505025345369</x:v>
      </x:c>
      <x:c r="AE6" s="18" t="n">
        <x:v>0.8625143192258565</x:v>
      </x:c>
      <x:c r="AF6" s="18" t="n">
        <x:v>0.16729189237677197</x:v>
      </x:c>
      <x:c r="AG6" s="18" t="n">
        <x:v>0.2643689038385296</x:v>
      </x:c>
      <x:c r="AH6" s="18" t="n">
        <x:v>-0.671755076769243</x:v>
      </x:c>
      <x:c r="AI6" s="18" t="n">
        <x:v>-0.5022189899069032</x:v>
      </x:c>
      <x:c r="AJ6" s="18" t="n">
        <x:v>0.34513244083640865</x:v>
      </x:c>
      <x:c r="AK6" s="18" t="n">
        <x:v>0.47393075191213363</x:v>
      </x:c>
      <x:c r="AL6" s="18" t="n">
        <x:v>0.34264207057338913</x:v>
      </x:c>
      <x:c r="AM6" s="18" t="n">
        <x:v>0.44729242254077645</x:v>
      </x:c>
      <x:c r="AN6" s="18" t="n">
        <x:v>0.5750455877873698</x:v>
      </x:c>
      <x:c r="AO6" s="18" t="n">
        <x:v>0.7531503799166139</x:v>
      </x:c>
      <x:c r="AP6" s="18" t="n">
        <x:v>0.28612107763730954</x:v>
      </x:c>
      <x:c r="AQ6" s="18" t="n">
        <x:v>0.45035857838393717</x:v>
      </x:c>
      <x:c r="AR6" s="18" t="n">
        <x:v>0.16095039174185882</x:v>
      </x:c>
      <x:c r="AS6" s="18" t="n">
        <x:v>0.2565636679431939</x:v>
      </x:c>
      <x:c r="AT6" s="18" t="n">
        <x:v>0.3778391801959206</x:v>
      </x:c>
      <x:c r="AU6" s="18" t="n">
        <x:v>0.5029323124994802</x:v>
      </x:c>
      <x:c r="AV6" s="18" t="n">
        <x:v>0.9899307628730507</x:v>
      </x:c>
      <x:c r="AW6" s="18" t="n">
        <x:v>0.9933156747323889</x:v>
      </x:c>
    </x:row>
    <x:row r="7">
      <x:c r="A7" s="8" t="str">
        <x:v>primary_10min_horizon</x:v>
      </x:c>
      <x:c r="B7" s="16" t="n">
        <x:v>600</x:v>
      </x:c>
      <x:c r="C7" s="8" t="str">
        <x:v>actual_timing_only</x:v>
      </x:c>
      <x:c r="D7" s="16" t="n">
        <x:v>55</x:v>
      </x:c>
      <x:c r="E7" s="16" t="n">
        <x:v>365</x:v>
      </x:c>
      <x:c r="F7" s="18" t="n">
        <x:v>10446.666666666666</x:v>
      </x:c>
      <x:c r="G7" s="18" t="n">
        <x:v>4780.605216666663</x:v>
      </x:c>
      <x:c r="H7" s="18" t="n">
        <x:v>8365.414</x:v>
      </x:c>
      <x:c r="I7" s="18" t="n">
        <x:v>2699.3525499999964</x:v>
      </x:c>
      <x:c r="J7" s="18" t="n">
        <x:v>3803</x:v>
      </x:c>
      <x:c r="K7" s="18" t="n">
        <x:v>4562.414</x:v>
      </x:c>
      <x:c r="L7" s="18" t="n">
        <x:v>6643.666666666666</x:v>
      </x:c>
      <x:c r="M7" s="18" t="n">
        <x:v>0.8007735162731335</x:v>
      </x:c>
      <x:c r="N7" s="18" t="n">
        <x:v>0.25839367102744065</x:v>
      </x:c>
      <x:c r="O7" s="18" t="n">
        <x:v>-0.5423798452456927</x:v>
      </x:c>
      <x:c r="P7" s="18" t="n">
        <x:v>0.36403956604977666</x:v>
      </x:c>
      <x:c r="Q7" s="18" t="n">
        <x:v>0.43673395022335676</x:v>
      </x:c>
      <x:c r="R7" s="18" t="n">
        <x:v>0.6867313230645729</x:v>
      </x:c>
      <x:c r="S7" s="18" t="n">
        <x:v>0.40630463348552454</x:v>
      </x:c>
      <x:c r="T7" s="18" t="n">
        <x:v>0.6047823918194288</x:v>
      </x:c>
      <x:c r="U7" s="18" t="n">
        <x:v>0.5926977370720452</x:v>
      </x:c>
      <x:c r="V7" s="16" t="n">
        <x:v>1298</x:v>
      </x:c>
      <x:c r="W7" s="16" t="n">
        <x:v>4873</x:v>
      </x:c>
      <x:c r="X7" s="16" t="n">
        <x:v>1920</x:v>
      </x:c>
      <x:c r="Y7" s="16" t="n">
        <x:v>1548</x:v>
      </x:c>
      <x:c r="Z7" s="16" t="n">
        <x:v>185389</x:v>
      </x:c>
      <x:c r="AA7" s="18" t="n">
        <x:v>0.2103386809269162</x:v>
      </x:c>
      <x:c r="AB7" s="18" t="n">
        <x:v>0.4033561218147918</x:v>
      </x:c>
      <x:c r="AC7" s="18" t="n">
        <x:v>0.9917191353236652</x:v>
      </x:c>
      <x:c r="AD7" s="18" t="n">
        <x:v>0.7312982405451667</x:v>
      </x:c>
      <x:c r="AE7" s="18" t="n">
        <x:v>0.8593401435920061</x:v>
      </x:c>
      <x:c r="AF7" s="18" t="n">
        <x:v>0.18541443572152538</x:v>
      </x:c>
      <x:c r="AG7" s="18" t="n">
        <x:v>0.3453579188429742</x:v>
      </x:c>
      <x:c r="AH7" s="18" t="n">
        <x:v>-0.6438039739113403</x:v>
      </x:c>
      <x:c r="AI7" s="18" t="n">
        <x:v>-0.42529230157902553</x:v>
      </x:c>
      <x:c r="AJ7" s="18" t="n">
        <x:v>0.30168195997371794</x:v>
      </x:c>
      <x:c r="AK7" s="18" t="n">
        <x:v>0.4205475603004512</x:v>
      </x:c>
      <x:c r="AL7" s="18" t="n">
        <x:v>0.38930156176000724</x:v>
      </x:c>
      <x:c r="AM7" s="18" t="n">
        <x:v>0.4990931843889325</x:v>
      </x:c>
      <x:c r="AN7" s="18" t="n">
        <x:v>0.6020235065135092</x:v>
      </x:c>
      <x:c r="AO7" s="18" t="n">
        <x:v>0.7702209358843384</x:v>
      </x:c>
      <x:c r="AP7" s="18" t="n">
        <x:v>0.2950844021394502</x:v>
      </x:c>
      <x:c r="AQ7" s="18" t="n">
        <x:v>0.5330134528732563</x:v>
      </x:c>
      <x:c r="AR7" s="18" t="n">
        <x:v>0.16760020257662306</x:v>
      </x:c>
      <x:c r="AS7" s="18" t="n">
        <x:v>0.2564011374783058</x:v>
      </x:c>
      <x:c r="AT7" s="18" t="n">
        <x:v>0.3390530945636862</x:v>
      </x:c>
      <x:c r="AU7" s="18" t="n">
        <x:v>0.46275722140786063</x:v>
      </x:c>
      <x:c r="AV7" s="18" t="n">
        <x:v>0.9894929776147465</x:v>
      </x:c>
      <x:c r="AW7" s="18" t="n">
        <x:v>0.9936535325304124</x:v>
      </x:c>
    </x:row>
    <x:row r="8">
      <x:c r="A8" s="8" t="str">
        <x:v>no_maximum_horizon</x:v>
      </x:c>
      <x:c r="B8" s="16"/>
      <x:c r="C8" s="8" t="str">
        <x:v>actual_nibp_timing_plus_cuff</x:v>
      </x:c>
      <x:c r="D8" s="16" t="n">
        <x:v>60</x:v>
      </x:c>
      <x:c r="E8" s="16" t="n">
        <x:v>365</x:v>
      </x:c>
      <x:c r="F8" s="18" t="n">
        <x:v>19401.25</x:v>
      </x:c>
      <x:c r="G8" s="18" t="n">
        <x:v>21775.666666666664</x:v>
      </x:c>
      <x:c r="H8" s="18" t="n">
        <x:v>18320.25</x:v>
      </x:c>
      <x:c r="I8" s="18" t="n">
        <x:v>20694.666666666664</x:v>
      </x:c>
      <x:c r="J8" s="18" t="n">
        <x:v>147.33333333333331</x:v>
      </x:c>
      <x:c r="K8" s="18" t="n">
        <x:v>18172.916666666664</x:v>
      </x:c>
      <x:c r="L8" s="18" t="n">
        <x:v>19253.916666666664</x:v>
      </x:c>
      <x:c r="M8" s="18" t="n">
        <x:v>0.9442819405966111</x:v>
      </x:c>
      <x:c r="N8" s="18" t="n">
        <x:v>1.0666666666666667</x:v>
      </x:c>
      <x:c r="O8" s="18" t="n">
        <x:v>0.1223847260700555</x:v>
      </x:c>
      <x:c r="P8" s="18" t="n">
        <x:v>0.0075940124132895205</x:v>
      </x:c>
      <x:c r="Q8" s="18" t="n">
        <x:v>0.9366879281833214</x:v>
      </x:c>
      <x:c r="R8" s="18" t="n">
        <x:v>0.9438555791678749</x:v>
      </x:c>
      <x:c r="S8" s="18" t="n">
        <x:v>1.074828930910161</x:v>
      </x:c>
      <x:c r="T8" s="18" t="n">
        <x:v>0.0011514320156295467</x:v>
      </x:c>
      <x:c r="U8" s="18" t="n">
        <x:v>0.009697990477297367</x:v>
      </x:c>
      <x:c r="V8" s="16" t="n">
        <x:v>1829</x:v>
      </x:c>
      <x:c r="W8" s="16" t="n">
        <x:v>13073</x:v>
      </x:c>
      <x:c r="X8" s="16" t="n">
        <x:v>13023</x:v>
      </x:c>
      <x:c r="Y8" s="16" t="n">
        <x:v>25220</x:v>
      </x:c>
      <x:c r="Z8" s="16" t="n">
        <x:v>440514</x:v>
      </x:c>
      <x:c r="AA8" s="18" t="n">
        <x:v>0.1227352033284123</x:v>
      </x:c>
      <x:c r="AB8" s="18" t="n">
        <x:v>0.12314839752221923</x:v>
      </x:c>
      <x:c r="AC8" s="18" t="n">
        <x:v>0.9458489180519353</x:v>
      </x:c>
      <x:c r="AD8" s="18" t="n">
        <x:v>0.9122790277735172</x:v>
      </x:c>
      <x:c r="AE8" s="18" t="n">
        <x:v>0.9673992425313475</x:v>
      </x:c>
      <x:c r="AF8" s="18" t="n">
        <x:v>0.7094399735329276</x:v>
      </x:c>
      <x:c r="AG8" s="18" t="n">
        <x:v>1.4931519449039239</x:v>
      </x:c>
      <x:c r="AH8" s="18" t="n">
        <x:v>-0.24688540148010382</x:v>
      </x:c>
      <x:c r="AI8" s="18" t="n">
        <x:v>0.5472851327273085</x:v>
      </x:c>
      <x:c r="AJ8" s="18" t="n">
        <x:v>0.0012701586392051282</x:v>
      </x:c>
      <x:c r="AK8" s="18" t="n">
        <x:v>0.01772104243170114</x:v>
      </x:c>
      <x:c r="AL8" s="18" t="n">
        <x:v>0.9019118835632755</x:v>
      </x:c>
      <x:c r="AM8" s="18" t="n">
        <x:v>0.963578436079204</x:v>
      </x:c>
      <x:c r="AN8" s="18" t="n">
        <x:v>0.9115342526971411</x:v>
      </x:c>
      <x:c r="AO8" s="18" t="n">
        <x:v>0.9672883154884272</x:v>
      </x:c>
      <x:c r="AP8" s="18" t="n">
        <x:v>0.7142214567496691</x:v>
      </x:c>
      <x:c r="AQ8" s="18" t="n">
        <x:v>1.4988756841813586</x:v>
      </x:c>
      <x:c r="AR8" s="18" t="n">
        <x:v>0.07644265486394826</x:v>
      </x:c>
      <x:c r="AS8" s="18" t="n">
        <x:v>0.17540650824448986</x:v>
      </x:c>
      <x:c r="AT8" s="18" t="n">
        <x:v>0.07659303662126911</x:v>
      </x:c>
      <x:c r="AU8" s="18" t="n">
        <x:v>0.17613140670852745</x:v>
      </x:c>
      <x:c r="AV8" s="18" t="n">
        <x:v>0.9301567092984389</x:v>
      </x:c>
      <x:c r="AW8" s="18" t="n">
        <x:v>0.9614392334074057</x:v>
      </x:c>
    </x:row>
    <x:row r="9">
      <x:c r="A9" s="8" t="str">
        <x:v>sensitivity_5min_horizon</x:v>
      </x:c>
      <x:c r="B9" s="16" t="n">
        <x:v>300</x:v>
      </x:c>
      <x:c r="C9" s="8" t="str">
        <x:v>actual_nibp_timing_plus_cuff</x:v>
      </x:c>
      <x:c r="D9" s="16" t="n">
        <x:v>60</x:v>
      </x:c>
      <x:c r="E9" s="16" t="n">
        <x:v>365</x:v>
      </x:c>
      <x:c r="F9" s="18" t="n">
        <x:v>19401.25</x:v>
      </x:c>
      <x:c r="G9" s="18" t="n">
        <x:v>7364.333333333334</x:v>
      </x:c>
      <x:c r="H9" s="18" t="n">
        <x:v>18706.166666666668</x:v>
      </x:c>
      <x:c r="I9" s="18" t="n">
        <x:v>6669.25</x:v>
      </x:c>
      <x:c r="J9" s="18" t="n">
        <x:v>9379.916666666666</x:v>
      </x:c>
      <x:c r="K9" s="18" t="n">
        <x:v>9326.25</x:v>
      </x:c>
      <x:c r="L9" s="18" t="n">
        <x:v>10021.333333333334</x:v>
      </x:c>
      <x:c r="M9" s="18" t="n">
        <x:v>0.9641732706225974</x:v>
      </x:c>
      <x:c r="N9" s="18" t="n">
        <x:v>0.3437536241221571</x:v>
      </x:c>
      <x:c r="O9" s="18" t="n">
        <x:v>-0.6204196465004402</x:v>
      </x:c>
      <x:c r="P9" s="18" t="n">
        <x:v>0.48346970770783665</x:v>
      </x:c>
      <x:c r="Q9" s="18" t="n">
        <x:v>0.48070356291476063</x:v>
      </x:c>
      <x:c r="R9" s="18" t="n">
        <x:v>0.9306396354443852</x:v>
      </x:c>
      <x:c r="S9" s="18" t="n">
        <x:v>0.6655052554550293</x:v>
      </x:c>
      <x:c r="T9" s="18" t="n">
        <x:v>0.681209211456125</x:v>
      </x:c>
      <x:c r="U9" s="18" t="n">
        <x:v>0.6665148775557254</x:v>
      </x:c>
      <x:c r="V9" s="16" t="n">
        <x:v>1032</x:v>
      </x:c>
      <x:c r="W9" s="16" t="n">
        <x:v>13870</x:v>
      </x:c>
      <x:c r="X9" s="16" t="n">
        <x:v>5206</x:v>
      </x:c>
      <x:c r="Y9" s="16" t="n">
        <x:v>7559</x:v>
      </x:c>
      <x:c r="Z9" s="16" t="n">
        <x:v>139586</x:v>
      </x:c>
      <x:c r="AA9" s="18" t="n">
        <x:v>0.06925244933565965</x:v>
      </x:c>
      <x:c r="AB9" s="18" t="n">
        <x:v>0.1654376402693171</x:v>
      </x:c>
      <x:c r="AC9" s="18" t="n">
        <x:v>0.9486289034625709</x:v>
      </x:c>
      <x:c r="AD9" s="18" t="n">
        <x:v>0.9456295063925624</x:v>
      </x:c>
      <x:c r="AE9" s="18" t="n">
        <x:v>0.9787078514057411</x:v>
      </x:c>
      <x:c r="AF9" s="18" t="n">
        <x:v>0.24435527810122037</x:v>
      </x:c>
      <x:c r="AG9" s="18" t="n">
        <x:v>0.4563782984267113</x:v>
      </x:c>
      <x:c r="AH9" s="18" t="n">
        <x:v>-0.7251235077793053</x:v>
      </x:c>
      <x:c r="AI9" s="18" t="n">
        <x:v>-0.5059215205042772</x:v>
      </x:c>
      <x:c r="AJ9" s="18" t="n">
        <x:v>0.422314441846979</x:v>
      </x:c>
      <x:c r="AK9" s="18" t="n">
        <x:v>0.5398971820150074</x:v>
      </x:c>
      <x:c r="AL9" s="18" t="n">
        <x:v>0.4235778753229585</x:v>
      </x:c>
      <x:c r="AM9" s="18" t="n">
        <x:v>0.546022802828867</x:v>
      </x:c>
      <x:c r="AN9" s="18" t="n">
        <x:v>0.8910216449014848</x:v>
      </x:c>
      <x:c r="AO9" s="18" t="n">
        <x:v>0.959676842631296</x:v>
      </x:c>
      <x:c r="AP9" s="18" t="n">
        <x:v>0.467940900990744</x:v>
      </x:c>
      <x:c r="AQ9" s="18" t="n">
        <x:v>0.9105851261134826</x:v>
      </x:c>
      <x:c r="AR9" s="18" t="n">
        <x:v>0.04413277884203464</x:v>
      </x:c>
      <x:c r="AS9" s="18" t="n">
        <x:v>0.09557617343205727</x:v>
      </x:c>
      <x:c r="AT9" s="18" t="n">
        <x:v>0.10588117529629817</x:v>
      </x:c>
      <x:c r="AU9" s="18" t="n">
        <x:v>0.22459968652138929</x:v>
      </x:c>
      <x:c r="AV9" s="18" t="n">
        <x:v>0.93565517998968</x:v>
      </x:c>
      <x:c r="AW9" s="18" t="n">
        <x:v>0.9605698704922498</x:v>
      </x:c>
    </x:row>
    <x:row r="10">
      <x:c r="A10" s="8" t="str">
        <x:v>primary_10min_horizon</x:v>
      </x:c>
      <x:c r="B10" s="16" t="n">
        <x:v>600</x:v>
      </x:c>
      <x:c r="C10" s="8" t="str">
        <x:v>actual_nibp_timing_plus_cuff</x:v>
      </x:c>
      <x:c r="D10" s="16" t="n">
        <x:v>60</x:v>
      </x:c>
      <x:c r="E10" s="16" t="n">
        <x:v>365</x:v>
      </x:c>
      <x:c r="F10" s="18" t="n">
        <x:v>19401.25</x:v>
      </x:c>
      <x:c r="G10" s="18" t="n">
        <x:v>8943.333333333332</x:v>
      </x:c>
      <x:c r="H10" s="18" t="n">
        <x:v>18642.916666666668</x:v>
      </x:c>
      <x:c r="I10" s="18" t="n">
        <x:v>8185</x:v>
      </x:c>
      <x:c r="J10" s="18" t="n">
        <x:v>8262.333333333334</x:v>
      </x:c>
      <x:c r="K10" s="18" t="n">
        <x:v>10380.583333333334</x:v>
      </x:c>
      <x:c r="L10" s="18" t="n">
        <x:v>11138.916666666668</x:v>
      </x:c>
      <x:c r="M10" s="18" t="n">
        <x:v>0.9609131714021864</x:v>
      </x:c>
      <x:c r="N10" s="18" t="n">
        <x:v>0.42188003350299597</x:v>
      </x:c>
      <x:c r="O10" s="18" t="n">
        <x:v>-0.5390331378991904</x:v>
      </x:c>
      <x:c r="P10" s="18" t="n">
        <x:v>0.425866030968795</x:v>
      </x:c>
      <x:c r="Q10" s="18" t="n">
        <x:v>0.5350471404333913</x:v>
      </x:c>
      <x:c r="R10" s="18" t="n">
        <x:v>0.9319203692758871</x:v>
      </x:c>
      <x:c r="S10" s="18" t="n">
        <x:v>0.7348111351343263</x:v>
      </x:c>
      <x:c r="T10" s="18" t="n">
        <x:v>0.6047823918194288</x:v>
      </x:c>
      <x:c r="U10" s="18" t="n">
        <x:v>0.5926977370720452</x:v>
      </x:c>
      <x:c r="V10" s="16" t="n">
        <x:v>1197</x:v>
      </x:c>
      <x:c r="W10" s="16" t="n">
        <x:v>13705</x:v>
      </x:c>
      <x:c r="X10" s="16" t="n">
        <x:v>6189</x:v>
      </x:c>
      <x:c r="Y10" s="16" t="n">
        <x:v>9355</x:v>
      </x:c>
      <x:c r="Z10" s="16" t="n">
        <x:v>173414</x:v>
      </x:c>
      <x:c r="AA10" s="18" t="n">
        <x:v>0.08032478861897732</x:v>
      </x:c>
      <x:c r="AB10" s="18" t="n">
        <x:v>0.1620633631194151</x:v>
      </x:c>
      <x:c r="AC10" s="18" t="n">
        <x:v>0.9488151710629265</x:v>
      </x:c>
      <x:c r="AD10" s="18" t="n">
        <x:v>0.9408256699196941</x:v>
      </x:c>
      <x:c r="AE10" s="18" t="n">
        <x:v>0.9771268427546785</x:v>
      </x:c>
      <x:c r="AF10" s="18" t="n">
        <x:v>0.28896842670707207</x:v>
      </x:c>
      <x:c r="AG10" s="18" t="n">
        <x:v>0.5812605754888228</x:v>
      </x:c>
      <x:c r="AH10" s="18" t="n">
        <x:v>-0.6794514113700697</x:v>
      </x:c>
      <x:c r="AI10" s="18" t="n">
        <x:v>-0.3762752996751078</x:v>
      </x:c>
      <x:c r="AJ10" s="18" t="n">
        <x:v>0.3677611815062329</x:v>
      </x:c>
      <x:c r="AK10" s="18" t="n">
        <x:v>0.47586052020756114</x:v>
      </x:c>
      <x:c r="AL10" s="18" t="n">
        <x:v>0.4816992328173192</x:v>
      </x:c>
      <x:c r="AM10" s="18" t="n">
        <x:v>0.5945996547001308</x:v>
      </x:c>
      <x:c r="AN10" s="18" t="n">
        <x:v>0.8966692048152476</x:v>
      </x:c>
      <x:c r="AO10" s="18" t="n">
        <x:v>0.9604334911155153</x:v>
      </x:c>
      <x:c r="AP10" s="18" t="n">
        <x:v>0.49961975553317584</x:v>
      </x:c>
      <x:c r="AQ10" s="18" t="n">
        <x:v>1.0101392901560655</x:v>
      </x:c>
      <x:c r="AR10" s="18" t="n">
        <x:v>0.05270292294183386</x:v>
      </x:c>
      <x:c r="AS10" s="18" t="n">
        <x:v>0.11023700837053305</x:v>
      </x:c>
      <x:c r="AT10" s="18" t="n">
        <x:v>0.10724914520259818</x:v>
      </x:c>
      <x:c r="AU10" s="18" t="n">
        <x:v>0.21786078377819632</x:v>
      </x:c>
      <x:c r="AV10" s="18" t="n">
        <x:v>0.9361388502705121</x:v>
      </x:c>
      <x:c r="AW10" s="18" t="n">
        <x:v>0.9612539143961908</x:v>
      </x:c>
    </x:row>
    <x:row r="11">
      <x:c r="A11" s="8" t="str">
        <x:v>no_maximum_horizon</x:v>
      </x:c>
      <x:c r="B11" s="16"/>
      <x:c r="C11" s="8" t="str">
        <x:v>actual_timing_only</x:v>
      </x:c>
      <x:c r="D11" s="16" t="n">
        <x:v>60</x:v>
      </x:c>
      <x:c r="E11" s="16" t="n">
        <x:v>365</x:v>
      </x:c>
      <x:c r="F11" s="18" t="n">
        <x:v>19401.25</x:v>
      </x:c>
      <x:c r="G11" s="18" t="n">
        <x:v>28454.16073333337</x:v>
      </x:c>
      <x:c r="H11" s="18" t="n">
        <x:v>14653.144533333332</x:v>
      </x:c>
      <x:c r="I11" s="18" t="n">
        <x:v>23706.0552666667</x:v>
      </x:c>
      <x:c r="J11" s="18" t="n">
        <x:v>147.33333333333331</x:v>
      </x:c>
      <x:c r="K11" s="18" t="n">
        <x:v>14505.8112</x:v>
      </x:c>
      <x:c r="L11" s="18" t="n">
        <x:v>19253.916666666664</x:v>
      </x:c>
      <x:c r="M11" s="18" t="n">
        <x:v>0.7552680643429331</x:v>
      </x:c>
      <x:c r="N11" s="18" t="n">
        <x:v>1.2218828821167038</x:v>
      </x:c>
      <x:c r="O11" s="18" t="n">
        <x:v>0.4666148177737708</x:v>
      </x:c>
      <x:c r="P11" s="18" t="n">
        <x:v>0.0075940124132895205</x:v>
      </x:c>
      <x:c r="Q11" s="18" t="n">
        <x:v>0.7476740519296438</x:v>
      </x:c>
      <x:c r="R11" s="18" t="n">
        <x:v>0.7533953455357569</x:v>
      </x:c>
      <x:c r="S11" s="18" t="n">
        <x:v>1.2312328798902406</x:v>
      </x:c>
      <x:c r="T11" s="18" t="n">
        <x:v>0.0011514320156295467</x:v>
      </x:c>
      <x:c r="U11" s="18" t="n">
        <x:v>0.009697990477297367</x:v>
      </x:c>
      <x:c r="V11" s="16" t="n">
        <x:v>5575</x:v>
      </x:c>
      <x:c r="W11" s="16" t="n">
        <x:v>9327</x:v>
      </x:c>
      <x:c r="X11" s="16" t="n">
        <x:v>9277</x:v>
      </x:c>
      <x:c r="Y11" s="16" t="n">
        <x:v>17926</x:v>
      </x:c>
      <x:c r="Z11" s="16" t="n">
        <x:v>447808</x:v>
      </x:c>
      <x:c r="AA11" s="18" t="n">
        <x:v>0.37411085760300633</x:v>
      </x:c>
      <x:c r="AB11" s="18" t="n">
        <x:v>0.37537032049555613</x:v>
      </x:c>
      <x:c r="AC11" s="18" t="n">
        <x:v>0.9615102182791035</x:v>
      </x:c>
      <x:c r="AD11" s="18" t="n">
        <x:v>0.7028111372918023</x:v>
      </x:c>
      <x:c r="AE11" s="18" t="n">
        <x:v>0.8080300762394905</x:v>
      </x:c>
      <x:c r="AF11" s="18" t="n">
        <x:v>0.4291445814725063</x:v>
      </x:c>
      <x:c r="AG11" s="18" t="n">
        <x:v>2.3744232802885192</x:v>
      </x:c>
      <x:c r="AH11" s="18" t="n">
        <x:v>-0.3438333280880413</x:v>
      </x:c>
      <x:c r="AI11" s="18" t="n">
        <x:v>1.609260630310107</x:v>
      </x:c>
      <x:c r="AJ11" s="18" t="n">
        <x:v>0.0012202173718253223</x:v>
      </x:c>
      <x:c r="AK11" s="18" t="n">
        <x:v>0.018113712511669773</x:v>
      </x:c>
      <x:c r="AL11" s="18" t="n">
        <x:v>0.6953125896728742</x:v>
      </x:c>
      <x:c r="AM11" s="18" t="n">
        <x:v>0.8012638271147065</x:v>
      </x:c>
      <x:c r="AN11" s="18" t="n">
        <x:v>0.7006471664689297</x:v>
      </x:c>
      <x:c r="AO11" s="18" t="n">
        <x:v>0.8065707474062156</x:v>
      </x:c>
      <x:c r="AP11" s="18" t="n">
        <x:v>0.4322210641628439</x:v>
      </x:c>
      <x:c r="AQ11" s="18" t="n">
        <x:v>2.3784896861117386</x:v>
      </x:c>
      <x:c r="AR11" s="18" t="n">
        <x:v>0.30187006455154725</x:v>
      </x:c>
      <x:c r="AS11" s="18" t="n">
        <x:v>0.4546601810300039</x:v>
      </x:c>
      <x:c r="AT11" s="18" t="n">
        <x:v>0.3030877402782279</x:v>
      </x:c>
      <x:c r="AU11" s="18" t="n">
        <x:v>0.45610371695398993</x:v>
      </x:c>
      <x:c r="AV11" s="18" t="n">
        <x:v>0.9458131785404433</x:v>
      </x:c>
      <x:c r="AW11" s="18" t="n">
        <x:v>0.9753087115328325</x:v>
      </x:c>
    </x:row>
    <x:row r="12">
      <x:c r="A12" s="8" t="str">
        <x:v>sensitivity_5min_horizon</x:v>
      </x:c>
      <x:c r="B12" s="16" t="n">
        <x:v>300</x:v>
      </x:c>
      <x:c r="C12" s="8" t="str">
        <x:v>actual_timing_only</x:v>
      </x:c>
      <x:c r="D12" s="16" t="n">
        <x:v>60</x:v>
      </x:c>
      <x:c r="E12" s="16" t="n">
        <x:v>365</x:v>
      </x:c>
      <x:c r="F12" s="18" t="n">
        <x:v>19401.25</x:v>
      </x:c>
      <x:c r="G12" s="18" t="n">
        <x:v>7655.389366666659</x:v>
      </x:c>
      <x:c r="H12" s="18" t="n">
        <x:v>15404.959866666666</x:v>
      </x:c>
      <x:c r="I12" s="18" t="n">
        <x:v>3659.099233333326</x:v>
      </x:c>
      <x:c r="J12" s="18" t="n">
        <x:v>9379.916666666666</x:v>
      </x:c>
      <x:c r="K12" s="18" t="n">
        <x:v>6025.0432</x:v>
      </x:c>
      <x:c r="L12" s="18" t="n">
        <x:v>10021.333333333334</x:v>
      </x:c>
      <x:c r="M12" s="18" t="n">
        <x:v>0.7940189352060649</x:v>
      </x:c>
      <x:c r="N12" s="18" t="n">
        <x:v>0.1886012104031094</x:v>
      </x:c>
      <x:c r="O12" s="18" t="n">
        <x:v>-0.6054177248029555</x:v>
      </x:c>
      <x:c r="P12" s="18" t="n">
        <x:v>0.48346970770783665</x:v>
      </x:c>
      <x:c r="Q12" s="18" t="n">
        <x:v>0.3105492274982282</x:v>
      </x:c>
      <x:c r="R12" s="18" t="n">
        <x:v>0.601221713677488</x:v>
      </x:c>
      <x:c r="S12" s="18" t="n">
        <x:v>0.3651309772485357</x:v>
      </x:c>
      <x:c r="T12" s="18" t="n">
        <x:v>0.681209211456125</x:v>
      </x:c>
      <x:c r="U12" s="18" t="n">
        <x:v>0.6665148775557254</x:v>
      </x:c>
      <x:c r="V12" s="16" t="n">
        <x:v>3570</x:v>
      </x:c>
      <x:c r="W12" s="16" t="n">
        <x:v>11332</x:v>
      </x:c>
      <x:c r="X12" s="16" t="n">
        <x:v>2668</x:v>
      </x:c>
      <x:c r="Y12" s="16" t="n">
        <x:v>2491</x:v>
      </x:c>
      <x:c r="Z12" s="16" t="n">
        <x:v>144654</x:v>
      </x:c>
      <x:c r="AA12" s="18" t="n">
        <x:v>0.23956515903905515</x:v>
      </x:c>
      <x:c r="AB12" s="18" t="n">
        <x:v>0.5722988137223469</x:v>
      </x:c>
      <x:c r="AC12" s="18" t="n">
        <x:v>0.9830711203234904</x:v>
      </x:c>
      <x:c r="AD12" s="18" t="n">
        <x:v>0.7442985473209293</x:v>
      </x:c>
      <x:c r="AE12" s="18" t="n">
        <x:v>0.838318288748879</x:v>
      </x:c>
      <x:c r="AF12" s="18" t="n">
        <x:v>0.15691773803052744</x:v>
      </x:c>
      <x:c r="AG12" s="18" t="n">
        <x:v>0.22692384938295063</x:v>
      </x:c>
      <x:c r="AH12" s="18" t="n">
        <x:v>-0.6643383652031013</x:v>
      </x:c>
      <x:c r="AI12" s="18" t="n">
        <x:v>-0.5345510025075451</x:v>
      </x:c>
      <x:c r="AJ12" s="18" t="n">
        <x:v>0.42172775248617705</x:v>
      </x:c>
      <x:c r="AK12" s="18" t="n">
        <x:v>0.5388063462083796</x:v>
      </x:c>
      <x:c r="AL12" s="18" t="n">
        <x:v>0.2715532686099686</x:v>
      </x:c>
      <x:c r="AM12" s="18" t="n">
        <x:v>0.35268018411493013</x:v>
      </x:c>
      <x:c r="AN12" s="18" t="n">
        <x:v>0.535950190492636</x:v>
      </x:c>
      <x:c r="AO12" s="18" t="n">
        <x:v>0.6652094369992463</x:v>
      </x:c>
      <x:c r="AP12" s="18" t="n">
        <x:v>0.30402674877746627</x:v>
      </x:c>
      <x:c r="AQ12" s="18" t="n">
        <x:v>0.4366930025765315</x:v>
      </x:c>
      <x:c r="AR12" s="18" t="n">
        <x:v>0.20895916693744063</x:v>
      </x:c>
      <x:c r="AS12" s="18" t="n">
        <x:v>0.275684261508676</x:v>
      </x:c>
      <x:c r="AT12" s="18" t="n">
        <x:v>0.5249388611728486</x:v>
      </x:c>
      <x:c r="AU12" s="18" t="n">
        <x:v>0.6168865661496751</x:v>
      </x:c>
      <x:c r="AV12" s="18" t="n">
        <x:v>0.9801235683254551</x:v>
      </x:c>
      <x:c r="AW12" s="18" t="n">
        <x:v>0.9856613369407979</x:v>
      </x:c>
    </x:row>
    <x:row r="13">
      <x:c r="A13" s="8" t="str">
        <x:v>primary_10min_horizon</x:v>
      </x:c>
      <x:c r="B13" s="16" t="n">
        <x:v>600</x:v>
      </x:c>
      <x:c r="C13" s="8" t="str">
        <x:v>actual_timing_only</x:v>
      </x:c>
      <x:c r="D13" s="16" t="n">
        <x:v>60</x:v>
      </x:c>
      <x:c r="E13" s="16" t="n">
        <x:v>365</x:v>
      </x:c>
      <x:c r="F13" s="18" t="n">
        <x:v>19401.25</x:v>
      </x:c>
      <x:c r="G13" s="18" t="n">
        <x:v>8763.48356666666</x:v>
      </x:c>
      <x:c r="H13" s="18" t="n">
        <x:v>15274.9817</x:v>
      </x:c>
      <x:c r="I13" s="18" t="n">
        <x:v>4637.215266666659</x:v>
      </x:c>
      <x:c r="J13" s="18" t="n">
        <x:v>8262.333333333334</x:v>
      </x:c>
      <x:c r="K13" s="18" t="n">
        <x:v>7012.648366666666</x:v>
      </x:c>
      <x:c r="L13" s="18" t="n">
        <x:v>11138.916666666668</x:v>
      </x:c>
      <x:c r="M13" s="18" t="n">
        <x:v>0.7873194613749114</x:v>
      </x:c>
      <x:c r="N13" s="18" t="n">
        <x:v>0.2390163142409205</x:v>
      </x:c>
      <x:c r="O13" s="18" t="n">
        <x:v>-0.5483031471339909</x:v>
      </x:c>
      <x:c r="P13" s="18" t="n">
        <x:v>0.425866030968795</x:v>
      </x:c>
      <x:c r="Q13" s="18" t="n">
        <x:v>0.36145343040611644</x:v>
      </x:c>
      <x:c r="R13" s="18" t="n">
        <x:v>0.6295628719130375</x:v>
      </x:c>
      <x:c r="S13" s="18" t="n">
        <x:v>0.41630756432028776</x:v>
      </x:c>
      <x:c r="T13" s="18" t="n">
        <x:v>0.6047823918194288</x:v>
      </x:c>
      <x:c r="U13" s="18" t="n">
        <x:v>0.5926977370720452</x:v>
      </x:c>
      <x:c r="V13" s="16" t="n">
        <x:v>3870</x:v>
      </x:c>
      <x:c r="W13" s="16" t="n">
        <x:v>11032</x:v>
      </x:c>
      <x:c r="X13" s="16" t="n">
        <x:v>3516</x:v>
      </x:c>
      <x:c r="Y13" s="16" t="n">
        <x:v>3559</x:v>
      </x:c>
      <x:c r="Z13" s="16" t="n">
        <x:v>179210</x:v>
      </x:c>
      <x:c r="AA13" s="18" t="n">
        <x:v>0.25969668500872367</x:v>
      </x:c>
      <x:c r="AB13" s="18" t="n">
        <x:v>0.5239642567018684</x:v>
      </x:c>
      <x:c r="AC13" s="18" t="n">
        <x:v>0.9805273323156553</x:v>
      </x:c>
      <x:c r="AD13" s="18" t="n">
        <x:v>0.7399650333634</x:v>
      </x:c>
      <x:c r="AE13" s="18" t="n">
        <x:v>0.831320377634824</x:v>
      </x:c>
      <x:c r="AF13" s="18" t="n">
        <x:v>0.19008341315951024</x:v>
      </x:c>
      <x:c r="AG13" s="18" t="n">
        <x:v>0.2987024131111627</x:v>
      </x:c>
      <x:c r="AH13" s="18" t="n">
        <x:v>-0.6238699656742993</x:v>
      </x:c>
      <x:c r="AI13" s="18" t="n">
        <x:v>-0.4657423030389976</x:v>
      </x:c>
      <x:c r="AJ13" s="18" t="n">
        <x:v>0.3696864601641261</x:v>
      </x:c>
      <x:c r="AK13" s="18" t="n">
        <x:v>0.47559318853801646</x:v>
      </x:c>
      <x:c r="AL13" s="18" t="n">
        <x:v>0.3229319970951613</x:v>
      </x:c>
      <x:c r="AM13" s="18" t="n">
        <x:v>0.4081623348375316</x:v>
      </x:c>
      <x:c r="AN13" s="18" t="n">
        <x:v>0.5690093929669153</x:v>
      </x:c>
      <x:c r="AO13" s="18" t="n">
        <x:v>0.6924615768264959</x:v>
      </x:c>
      <x:c r="AP13" s="18" t="n">
        <x:v>0.3395703088348944</x:v>
      </x:c>
      <x:c r="AQ13" s="18" t="n">
        <x:v>0.5094687078016265</x:v>
      </x:c>
      <x:c r="AR13" s="18" t="n">
        <x:v>0.22091686568813798</x:v>
      </x:c>
      <x:c r="AS13" s="18" t="n">
        <x:v>0.300533757572067</x:v>
      </x:c>
      <x:c r="AT13" s="18" t="n">
        <x:v>0.474950604396451</x:v>
      </x:c>
      <x:c r="AU13" s="18" t="n">
        <x:v>0.5721340209236856</x:v>
      </x:c>
      <x:c r="AV13" s="18" t="n">
        <x:v>0.9765475785060139</x:v>
      </x:c>
      <x:c r="AW13" s="18" t="n">
        <x:v>0.9842251264516332</x:v>
      </x:c>
    </x:row>
    <x:row r="14">
      <x:c r="A14" s="8" t="str">
        <x:v>no_maximum_horizon</x:v>
      </x:c>
      <x:c r="B14" s="16"/>
      <x:c r="C14" s="8" t="str">
        <x:v>actual_nibp_timing_plus_cuff</x:v>
      </x:c>
      <x:c r="D14" s="16" t="n">
        <x:v>65</x:v>
      </x:c>
      <x:c r="E14" s="16" t="n">
        <x:v>365</x:v>
      </x:c>
      <x:c r="F14" s="18" t="n">
        <x:v>41564.58333333333</x:v>
      </x:c>
      <x:c r="G14" s="18" t="n">
        <x:v>60214.666666666664</x:v>
      </x:c>
      <x:c r="H14" s="18" t="n">
        <x:v>36592.08333333333</x:v>
      </x:c>
      <x:c r="I14" s="18" t="n">
        <x:v>55242.16666666667</x:v>
      </x:c>
      <x:c r="J14" s="18" t="n">
        <x:v>208.16666666666666</x:v>
      </x:c>
      <x:c r="K14" s="18" t="n">
        <x:v>36383.916666666664</x:v>
      </x:c>
      <x:c r="L14" s="18" t="n">
        <x:v>41356.416666666664</x:v>
      </x:c>
      <x:c r="M14" s="18" t="n">
        <x:v>0.8803668989023107</x:v>
      </x:c>
      <x:c r="N14" s="18" t="n">
        <x:v>1.3290682171319737</x:v>
      </x:c>
      <x:c r="O14" s="18" t="n">
        <x:v>0.4487013182296628</x:v>
      </x:c>
      <x:c r="P14" s="18" t="n">
        <x:v>0.0050082702621422484</x:v>
      </x:c>
      <x:c r="Q14" s="18" t="n">
        <x:v>0.8753586286401684</x:v>
      </x:c>
      <x:c r="R14" s="18" t="n">
        <x:v>0.8797647281659234</x:v>
      </x:c>
      <x:c r="S14" s="18" t="n">
        <x:v>1.3357580544736107</x:v>
      </x:c>
      <x:c r="T14" s="18" t="n">
        <x:v>0.0011514320156295467</x:v>
      </x:c>
      <x:c r="U14" s="18" t="n">
        <x:v>0.009697990477297367</x:v>
      </x:c>
      <x:c r="V14" s="16" t="n">
        <x:v>7382</x:v>
      </x:c>
      <x:c r="W14" s="16" t="n">
        <x:v>29724</x:v>
      </x:c>
      <x:c r="X14" s="16" t="n">
        <x:v>29621</x:v>
      </x:c>
      <x:c r="Y14" s="16" t="n">
        <x:v>49526</x:v>
      </x:c>
      <x:c r="Z14" s="16" t="n">
        <x:v>394057</x:v>
      </x:c>
      <x:c r="AA14" s="18" t="n">
        <x:v>0.19894356707810057</x:v>
      </x:c>
      <x:c r="AB14" s="18" t="n">
        <x:v>0.1994973380536713</x:v>
      </x:c>
      <x:c r="AC14" s="18" t="n">
        <x:v>0.8883500945708018</x:v>
      </x:c>
      <x:c r="AD14" s="18" t="n">
        <x:v>0.8447815103096852</x:v>
      </x:c>
      <x:c r="AE14" s="18" t="n">
        <x:v>0.9136510318513812</x:v>
      </x:c>
      <x:c r="AF14" s="18" t="n">
        <x:v>0.9958811955199742</x:v>
      </x:c>
      <x:c r="AG14" s="18" t="n">
        <x:v>1.7486628741695889</x:v>
      </x:c>
      <x:c r="AH14" s="18" t="n">
        <x:v>0.09332894469471636</x:v>
      </x:c>
      <x:c r="AI14" s="18" t="n">
        <x:v>0.8787827703198309</x:v>
      </x:c>
      <x:c r="AJ14" s="18" t="n">
        <x:v>0.0009396597798056916</x:v>
      </x:c>
      <x:c r="AK14" s="18" t="n">
        <x:v>0.012263685902309012</x:v>
      </x:c>
      <x:c r="AL14" s="18" t="n">
        <x:v>0.8379078487059192</x:v>
      </x:c>
      <x:c r="AM14" s="18" t="n">
        <x:v>0.9092340984716598</x:v>
      </x:c>
      <x:c r="AN14" s="18" t="n">
        <x:v>0.8444049736667217</x:v>
      </x:c>
      <x:c r="AO14" s="18" t="n">
        <x:v>0.9132574450676559</x:v>
      </x:c>
      <x:c r="AP14" s="18" t="n">
        <x:v>1.0016718339598194</x:v>
      </x:c>
      <x:c r="AQ14" s="18" t="n">
        <x:v>1.756661779695089</x:v>
      </x:c>
      <x:c r="AR14" s="18" t="n">
        <x:v>0.15498332485343203</x:v>
      </x:c>
      <x:c r="AS14" s="18" t="n">
        <x:v>0.24393796883032354</x:v>
      </x:c>
      <x:c r="AT14" s="18" t="n">
        <x:v>0.15529898597973157</x:v>
      </x:c>
      <x:c r="AU14" s="18" t="n">
        <x:v>0.2447327336046078</x:v>
      </x:c>
      <x:c r="AV14" s="18" t="n">
        <x:v>0.8632676281467123</x:v>
      </x:c>
      <x:c r="AW14" s="18" t="n">
        <x:v>0.9116832176768132</x:v>
      </x:c>
    </x:row>
    <x:row r="15">
      <x:c r="A15" s="8" t="str">
        <x:v>sensitivity_5min_horizon</x:v>
      </x:c>
      <x:c r="B15" s="16" t="n">
        <x:v>300</x:v>
      </x:c>
      <x:c r="C15" s="8" t="str">
        <x:v>actual_nibp_timing_plus_cuff</x:v>
      </x:c>
      <x:c r="D15" s="16" t="n">
        <x:v>65</x:v>
      </x:c>
      <x:c r="E15" s="16" t="n">
        <x:v>365</x:v>
      </x:c>
      <x:c r="F15" s="18" t="n">
        <x:v>41564.58333333333</x:v>
      </x:c>
      <x:c r="G15" s="18" t="n">
        <x:v>19510.166666666664</x:v>
      </x:c>
      <x:c r="H15" s="18" t="n">
        <x:v>38914.33333333333</x:v>
      </x:c>
      <x:c r="I15" s="18" t="n">
        <x:v>16859.916666666664</x:v>
      </x:c>
      <x:c r="J15" s="18" t="n">
        <x:v>22867.916666666664</x:v>
      </x:c>
      <x:c r="K15" s="18" t="n">
        <x:v>16046.416666666666</x:v>
      </x:c>
      <x:c r="L15" s="18" t="n">
        <x:v>18696.666666666664</x:v>
      </x:c>
      <x:c r="M15" s="18" t="n">
        <x:v>0.9362377825672898</x:v>
      </x:c>
      <x:c r="N15" s="18" t="n">
        <x:v>0.4056317979048669</x:v>
      </x:c>
      <x:c r="O15" s="18" t="n">
        <x:v>-0.5306059846624229</x:v>
      </x:c>
      <x:c r="P15" s="18" t="n">
        <x:v>0.5501779359430605</x:v>
      </x:c>
      <x:c r="Q15" s="18" t="n">
        <x:v>0.3860598466242294</x:v>
      </x:c>
      <x:c r="R15" s="18" t="n">
        <x:v>0.8582501337136745</x:v>
      </x:c>
      <x:c r="S15" s="18" t="n">
        <x:v>0.9017605633802817</x:v>
      </x:c>
      <x:c r="T15" s="18" t="n">
        <x:v>0.681209211456125</x:v>
      </x:c>
      <x:c r="U15" s="18" t="n">
        <x:v>0.6665148775557254</x:v>
      </x:c>
      <x:c r="V15" s="16" t="n">
        <x:v>3747</x:v>
      </x:c>
      <x:c r="W15" s="16" t="n">
        <x:v>33359</x:v>
      </x:c>
      <x:c r="X15" s="16" t="n">
        <x:v>10428</x:v>
      </x:c>
      <x:c r="Y15" s="16" t="n">
        <x:v>14608</x:v>
      </x:c>
      <x:c r="Z15" s="16" t="n">
        <x:v>124600</x:v>
      </x:c>
      <x:c r="AA15" s="18" t="n">
        <x:v>0.10098097342747804</x:v>
      </x:c>
      <x:c r="AB15" s="18" t="n">
        <x:v>0.2643386243386243</x:v>
      </x:c>
      <x:c r="AC15" s="18" t="n">
        <x:v>0.8950635020975806</x:v>
      </x:c>
      <x:c r="AD15" s="18" t="n">
        <x:v>0.9156463930199712</x:v>
      </x:c>
      <x:c r="AE15" s="18" t="n">
        <x:v>0.9532710651847854</x:v>
      </x:c>
      <x:c r="AF15" s="18" t="n">
        <x:v>0.3137482800502963</x:v>
      </x:c>
      <x:c r="AG15" s="18" t="n">
        <x:v>0.5223661187995461</x:v>
      </x:c>
      <x:c r="AH15" s="18" t="n">
        <x:v>-0.6326580039480665</x:v>
      </x:c>
      <x:c r="AI15" s="18" t="n">
        <x:v>-0.4047965366897104</x:v>
      </x:c>
      <x:c r="AJ15" s="18" t="n">
        <x:v>0.5025580081252736</x:v>
      </x:c>
      <x:c r="AK15" s="18" t="n">
        <x:v>0.5923317819041662</x:v>
      </x:c>
      <x:c r="AL15" s="18" t="n">
        <x:v>0.34377747511366996</x:v>
      </x:c>
      <x:c r="AM15" s="18" t="n">
        <x:v>0.4313292024743859</x:v>
      </x:c>
      <x:c r="AN15" s="18" t="n">
        <x:v>0.8131492436163837</x:v>
      </x:c>
      <x:c r="AO15" s="18" t="n">
        <x:v>0.8953225036170134</x:v>
      </x:c>
      <x:c r="AP15" s="18" t="n">
        <x:v>0.703218226706971</x:v>
      </x:c>
      <x:c r="AQ15" s="18" t="n">
        <x:v>1.1484718389935338</x:v>
      </x:c>
      <x:c r="AR15" s="18" t="n">
        <x:v>0.07911138400862631</x:v>
      </x:c>
      <x:c r="AS15" s="18" t="n">
        <x:v>0.12477960283244174</x:v>
      </x:c>
      <x:c r="AT15" s="18" t="n">
        <x:v>0.21533214969685407</x:v>
      </x:c>
      <x:c r="AU15" s="18" t="n">
        <x:v>0.31628466345394796</x:v>
      </x:c>
      <x:c r="AV15" s="18" t="n">
        <x:v>0.8747461122138132</x:v>
      </x:c>
      <x:c r="AW15" s="18" t="n">
        <x:v>0.9154362009699759</x:v>
      </x:c>
    </x:row>
    <x:row r="16">
      <x:c r="A16" s="8" t="str">
        <x:v>primary_10min_horizon</x:v>
      </x:c>
      <x:c r="B16" s="16" t="n">
        <x:v>600</x:v>
      </x:c>
      <x:c r="C16" s="8" t="str">
        <x:v>actual_nibp_timing_plus_cuff</x:v>
      </x:c>
      <x:c r="D16" s="16" t="n">
        <x:v>65</x:v>
      </x:c>
      <x:c r="E16" s="16" t="n">
        <x:v>365</x:v>
      </x:c>
      <x:c r="F16" s="18" t="n">
        <x:v>41564.58333333333</x:v>
      </x:c>
      <x:c r="G16" s="18" t="n">
        <x:v>23991.833333333336</x:v>
      </x:c>
      <x:c r="H16" s="18" t="n">
        <x:v>38486.75</x:v>
      </x:c>
      <x:c r="I16" s="18" t="n">
        <x:v>20914</x:v>
      </x:c>
      <x:c r="J16" s="18" t="n">
        <x:v>20011.916666666664</x:v>
      </x:c>
      <x:c r="K16" s="18" t="n">
        <x:v>18474.833333333336</x:v>
      </x:c>
      <x:c r="L16" s="18" t="n">
        <x:v>21552.666666666664</x:v>
      </x:c>
      <x:c r="M16" s="18" t="n">
        <x:v>0.9259505789183501</x:v>
      </x:c>
      <x:c r="N16" s="18" t="n">
        <x:v>0.5031687634705028</x:v>
      </x:c>
      <x:c r="O16" s="18" t="n">
        <x:v>-0.4227818154478471</x:v>
      </x:c>
      <x:c r="P16" s="18" t="n">
        <x:v>0.4814655906972082</x:v>
      </x:c>
      <x:c r="Q16" s="18" t="n">
        <x:v>0.4444849882211419</x:v>
      </x:c>
      <x:c r="R16" s="18" t="n">
        <x:v>0.8571947786816791</x:v>
      </x:c>
      <x:c r="S16" s="18" t="n">
        <x:v>0.970367162609422</x:v>
      </x:c>
      <x:c r="T16" s="18" t="n">
        <x:v>0.6047823918194288</x:v>
      </x:c>
      <x:c r="U16" s="18" t="n">
        <x:v>0.5926977370720452</x:v>
      </x:c>
      <x:c r="V16" s="16" t="n">
        <x:v>4421</x:v>
      </x:c>
      <x:c r="W16" s="16" t="n">
        <x:v>32685</x:v>
      </x:c>
      <x:c r="X16" s="16" t="n">
        <x:v>12653</x:v>
      </x:c>
      <x:c r="Y16" s="16" t="n">
        <x:v>18306</x:v>
      </x:c>
      <x:c r="Z16" s="16" t="n">
        <x:v>154775</x:v>
      </x:c>
      <x:c r="AA16" s="18" t="n">
        <x:v>0.11914515172748343</x:v>
      </x:c>
      <x:c r="AB16" s="18" t="n">
        <x:v>0.2589317090312756</x:v>
      </x:c>
      <x:c r="AC16" s="18" t="n">
        <x:v>0.8942344913653145</x:v>
      </x:c>
      <x:c r="AD16" s="18" t="n">
        <x:v>0.9032490414672524</x:v>
      </x:c>
      <x:c r="AE16" s="18" t="n">
        <x:v>0.9456030038193088</x:v>
      </x:c>
      <x:c r="AF16" s="18" t="n">
        <x:v>0.38047116654866514</x:v>
      </x:c>
      <x:c r="AG16" s="18" t="n">
        <x:v>0.6361677981562129</x:v>
      </x:c>
      <x:c r="AH16" s="18" t="n">
        <x:v>-0.5562704871646468</x:v>
      </x:c>
      <x:c r="AI16" s="18" t="n">
        <x:v>-0.2803053754423269</x:v>
      </x:c>
      <x:c r="AJ16" s="18" t="n">
        <x:v>0.43242313794348003</x:v>
      </x:c>
      <x:c r="AK16" s="18" t="n">
        <x:v>0.5229275102270604</x:v>
      </x:c>
      <x:c r="AL16" s="18" t="n">
        <x:v>0.402367264468425</x:v>
      </x:c>
      <x:c r="AM16" s="18" t="n">
        <x:v>0.49425686072506975</x:v>
      </x:c>
      <x:c r="AN16" s="18" t="n">
        <x:v>0.8156364103795793</x:v>
      </x:c>
      <x:c r="AO16" s="18" t="n">
        <x:v>0.8942634481050241</x:v>
      </x:c>
      <x:c r="AP16" s="18" t="n">
        <x:v>0.7439526762086447</x:v>
      </x:c>
      <x:c r="AQ16" s="18" t="n">
        <x:v>1.217824456884175</x:v>
      </x:c>
      <x:c r="AR16" s="18" t="n">
        <x:v>0.09406522448468448</x:v>
      </x:c>
      <x:c r="AS16" s="18" t="n">
        <x:v>0.14771782658499316</x:v>
      </x:c>
      <x:c r="AT16" s="18" t="n">
        <x:v>0.209206778705009</x:v>
      </x:c>
      <x:c r="AU16" s="18" t="n">
        <x:v>0.3092952410116814</x:v>
      </x:c>
      <x:c r="AV16" s="18" t="n">
        <x:v>0.8746915737631488</x:v>
      </x:c>
      <x:c r="AW16" s="18" t="n">
        <x:v>0.9149463681437352</x:v>
      </x:c>
    </x:row>
    <x:row r="17">
      <x:c r="A17" s="8" t="str">
        <x:v>no_maximum_horizon</x:v>
      </x:c>
      <x:c r="B17" s="16"/>
      <x:c r="C17" s="8" t="str">
        <x:v>actual_timing_only</x:v>
      </x:c>
      <x:c r="D17" s="16" t="n">
        <x:v>65</x:v>
      </x:c>
      <x:c r="E17" s="16" t="n">
        <x:v>365</x:v>
      </x:c>
      <x:c r="F17" s="18" t="n">
        <x:v>41564.58333333333</x:v>
      </x:c>
      <x:c r="G17" s="18" t="n">
        <x:v>56344.07541666669</x:v>
      </x:c>
      <x:c r="H17" s="18" t="n">
        <x:v>28390.451766666658</x:v>
      </x:c>
      <x:c r="I17" s="18" t="n">
        <x:v>43169.94385000002</x:v>
      </x:c>
      <x:c r="J17" s="18" t="n">
        <x:v>208.16666666666666</x:v>
      </x:c>
      <x:c r="K17" s="18" t="n">
        <x:v>28182.28509999999</x:v>
      </x:c>
      <x:c r="L17" s="18" t="n">
        <x:v>41356.416666666664</x:v>
      </x:c>
      <x:c r="M17" s="18" t="n">
        <x:v>0.6830443009372963</x:v>
      </x:c>
      <x:c r="N17" s="18" t="n">
        <x:v>1.0386232794346153</x:v>
      </x:c>
      <x:c r="O17" s="18" t="n">
        <x:v>0.3555789784973191</x:v>
      </x:c>
      <x:c r="P17" s="18" t="n">
        <x:v>0.0050082702621422484</x:v>
      </x:c>
      <x:c r="Q17" s="18" t="n">
        <x:v>0.678036030675154</x:v>
      </x:c>
      <x:c r="R17" s="18" t="n">
        <x:v>0.6814489109912406</x:v>
      </x:c>
      <x:c r="S17" s="18" t="n">
        <x:v>1.0438511681984057</x:v>
      </x:c>
      <x:c r="T17" s="18" t="n">
        <x:v>0.0011514320156295467</x:v>
      </x:c>
      <x:c r="U17" s="18" t="n">
        <x:v>0.009697990477297367</x:v>
      </x:c>
      <x:c r="V17" s="16" t="n">
        <x:v>15353</x:v>
      </x:c>
      <x:c r="W17" s="16" t="n">
        <x:v>21753</x:v>
      </x:c>
      <x:c r="X17" s="16" t="n">
        <x:v>21650</x:v>
      </x:c>
      <x:c r="Y17" s="16" t="n">
        <x:v>30850</x:v>
      </x:c>
      <x:c r="Z17" s="16" t="n">
        <x:v>412733</x:v>
      </x:c>
      <x:c r="AA17" s="18" t="n">
        <x:v>0.4137605778041287</x:v>
      </x:c>
      <x:c r="AB17" s="18" t="n">
        <x:v>0.41491230440775073</x:v>
      </x:c>
      <x:c r="AC17" s="18" t="n">
        <x:v>0.9304526999456697</x:v>
      </x:c>
      <x:c r="AD17" s="18" t="n">
        <x:v>0.6308867827350848</x:v>
      </x:c>
      <x:c r="AE17" s="18" t="n">
        <x:v>0.7353333753699869</x:v>
      </x:c>
      <x:c r="AF17" s="18" t="n">
        <x:v>0.5795680384467209</x:v>
      </x:c>
      <x:c r="AG17" s="18" t="n">
        <x:v>1.7081702852455527</x:v>
      </x:c>
      <x:c r="AH17" s="18" t="n">
        <x:v>-0.12090464472141502</x:v>
      </x:c>
      <x:c r="AI17" s="18" t="n">
        <x:v>1.0258955621700057</x:v>
      </x:c>
      <x:c r="AJ17" s="18" t="n">
        <x:v>0.0008395663251454664</x:v>
      </x:c>
      <x:c r="AK17" s="18" t="n">
        <x:v>0.011675918300075047</x:v>
      </x:c>
      <x:c r="AL17" s="18" t="n">
        <x:v>0.6264461453315011</x:v>
      </x:c>
      <x:c r="AM17" s="18" t="n">
        <x:v>0.7299785986434632</x:v>
      </x:c>
      <x:c r="AN17" s="18" t="n">
        <x:v>0.6288753197595784</x:v>
      </x:c>
      <x:c r="AO17" s="18" t="n">
        <x:v>0.7341353846912517</x:v>
      </x:c>
      <x:c r="AP17" s="18" t="n">
        <x:v>0.5816843143636842</x:v>
      </x:c>
      <x:c r="AQ17" s="18" t="n">
        <x:v>1.7187605082263977</x:v>
      </x:c>
      <x:c r="AR17" s="18" t="n">
        <x:v>0.35456371058159797</x:v>
      </x:c>
      <x:c r="AS17" s="18" t="n">
        <x:v>0.47168847951249004</x:v>
      </x:c>
      <x:c r="AT17" s="18" t="n">
        <x:v>0.3557758035314419</x:v>
      </x:c>
      <x:c r="AU17" s="18" t="n">
        <x:v>0.4727152075209225</x:v>
      </x:c>
      <x:c r="AV17" s="18" t="n">
        <x:v>0.9121350995763542</x:v>
      </x:c>
      <x:c r="AW17" s="18" t="n">
        <x:v>0.9471219612243771</x:v>
      </x:c>
    </x:row>
    <x:row r="18">
      <x:c r="A18" s="8" t="str">
        <x:v>sensitivity_5min_horizon</x:v>
      </x:c>
      <x:c r="B18" s="16" t="n">
        <x:v>300</x:v>
      </x:c>
      <x:c r="C18" s="8" t="str">
        <x:v>actual_timing_only</x:v>
      </x:c>
      <x:c r="D18" s="16" t="n">
        <x:v>65</x:v>
      </x:c>
      <x:c r="E18" s="16" t="n">
        <x:v>365</x:v>
      </x:c>
      <x:c r="F18" s="18" t="n">
        <x:v>41564.58333333333</x:v>
      </x:c>
      <x:c r="G18" s="18" t="n">
        <x:v>15845.01004999999</x:v>
      </x:c>
      <x:c r="H18" s="18" t="n">
        <x:v>32193.9566</x:v>
      </x:c>
      <x:c r="I18" s="18" t="n">
        <x:v>6474.383316666656</x:v>
      </x:c>
      <x:c r="J18" s="18" t="n">
        <x:v>22867.916666666664</x:v>
      </x:c>
      <x:c r="K18" s="18" t="n">
        <x:v>9326.039933333332</x:v>
      </x:c>
      <x:c r="L18" s="18" t="n">
        <x:v>18696.666666666664</x:v>
      </x:c>
      <x:c r="M18" s="18" t="n">
        <x:v>0.7745526123001355</x:v>
      </x:c>
      <x:c r="N18" s="18" t="n">
        <x:v>0.15576682832940683</x:v>
      </x:c>
      <x:c r="O18" s="18" t="n">
        <x:v>-0.6187857839707285</x:v>
      </x:c>
      <x:c r="P18" s="18" t="n">
        <x:v>0.5501779359430605</x:v>
      </x:c>
      <x:c r="Q18" s="18" t="n">
        <x:v>0.2243746763570748</x:v>
      </x:c>
      <x:c r="R18" s="18" t="n">
        <x:v>0.4988076270279907</x:v>
      </x:c>
      <x:c r="S18" s="18" t="n">
        <x:v>0.3462854332323047</x:v>
      </x:c>
      <x:c r="T18" s="18" t="n">
        <x:v>0.681209211456125</x:v>
      </x:c>
      <x:c r="U18" s="18" t="n">
        <x:v>0.6665148775557254</x:v>
      </x:c>
      <x:c r="V18" s="16" t="n">
        <x:v>9691</x:v>
      </x:c>
      <x:c r="W18" s="16" t="n">
        <x:v>27415</x:v>
      </x:c>
      <x:c r="X18" s="16" t="n">
        <x:v>4484</x:v>
      </x:c>
      <x:c r="Y18" s="16" t="n">
        <x:v>4728</x:v>
      </x:c>
      <x:c r="Z18" s="16" t="n">
        <x:v>134480</x:v>
      </x:c>
      <x:c r="AA18" s="18" t="n">
        <x:v>0.26117070015630894</x:v>
      </x:c>
      <x:c r="AB18" s="18" t="n">
        <x:v>0.683668430335097</x:v>
      </x:c>
      <x:c r="AC18" s="18" t="n">
        <x:v>0.9660364346876616</x:v>
      </x:c>
      <x:c r="AD18" s="18" t="n">
        <x:v>0.7427377826933291</x:v>
      </x:c>
      <x:c r="AE18" s="18" t="n">
        <x:v>0.8038719757094788</x:v>
      </x:c>
      <x:c r="AF18" s="18" t="n">
        <x:v>0.13563720572164506</x:v>
      </x:c>
      <x:c r="AG18" s="18" t="n">
        <x:v>0.18022798986013397</x:v>
      </x:c>
      <x:c r="AH18" s="18" t="n">
        <x:v>-0.6575728768147386</x:v>
      </x:c>
      <x:c r="AI18" s="18" t="n">
        <x:v>-0.5739266928892406</x:v>
      </x:c>
      <x:c r="AJ18" s="18" t="n">
        <x:v>0.5019288598802091</x:v>
      </x:c>
      <x:c r="AK18" s="18" t="n">
        <x:v>0.5928396047851556</x:v>
      </x:c>
      <x:c r="AL18" s="18" t="n">
        <x:v>0.19977397542742176</x:v>
      </x:c>
      <x:c r="AM18" s="18" t="n">
        <x:v>0.2526818902057774</x:v>
      </x:c>
      <x:c r="AN18" s="18" t="n">
        <x:v>0.4568120536952225</x:v>
      </x:c>
      <x:c r="AO18" s="18" t="n">
        <x:v>0.542745563855044</x:v>
      </x:c>
      <x:c r="AP18" s="18" t="n">
        <x:v>0.3045519241785267</x:v>
      </x:c>
      <x:c r="AQ18" s="18" t="n">
        <x:v>0.39385696503206263</x:v>
      </x:c>
      <x:c r="AR18" s="18" t="n">
        <x:v>0.23589524504397263</x:v>
      </x:c>
      <x:c r="AS18" s="18" t="n">
        <x:v>0.28932849910654845</x:v>
      </x:c>
      <x:c r="AT18" s="18" t="n">
        <x:v>0.6542438503418982</x:v>
      </x:c>
      <x:c r="AU18" s="18" t="n">
        <x:v>0.711612230450254</x:v>
      </x:c>
      <x:c r="AV18" s="18" t="n">
        <x:v>0.9613141957798472</x:v>
      </x:c>
      <x:c r="AW18" s="18" t="n">
        <x:v>0.9700025864716401</x:v>
      </x:c>
    </x:row>
    <x:row r="19">
      <x:c r="A19" s="8" t="str">
        <x:v>primary_10min_horizon</x:v>
      </x:c>
      <x:c r="B19" s="16" t="n">
        <x:v>600</x:v>
      </x:c>
      <x:c r="C19" s="8" t="str">
        <x:v>actual_timing_only</x:v>
      </x:c>
      <x:c r="D19" s="16" t="n">
        <x:v>65</x:v>
      </x:c>
      <x:c r="E19" s="16" t="n">
        <x:v>365</x:v>
      </x:c>
      <x:c r="F19" s="18" t="n">
        <x:v>41564.58333333333</x:v>
      </x:c>
      <x:c r="G19" s="18" t="n">
        <x:v>18772.83174999999</x:v>
      </x:c>
      <x:c r="H19" s="18" t="n">
        <x:v>31575.39335</x:v>
      </x:c>
      <x:c r="I19" s="18" t="n">
        <x:v>8783.641766666657</x:v>
      </x:c>
      <x:c r="J19" s="18" t="n">
        <x:v>20011.916666666664</x:v>
      </x:c>
      <x:c r="K19" s="18" t="n">
        <x:v>11563.47668333333</x:v>
      </x:c>
      <x:c r="L19" s="18" t="n">
        <x:v>21552.666666666664</x:v>
      </x:c>
      <x:c r="M19" s="18" t="n">
        <x:v>0.7596706334519574</x:v>
      </x:c>
      <x:c r="N19" s="18" t="n">
        <x:v>0.21132514901508676</x:v>
      </x:c>
      <x:c r="O19" s="18" t="n">
        <x:v>-0.5483454844368705</x:v>
      </x:c>
      <x:c r="P19" s="18" t="n">
        <x:v>0.4814655906972082</x:v>
      </x:c>
      <x:c r="Q19" s="18" t="n">
        <x:v>0.2782050427547491</x:v>
      </x:c>
      <x:c r="R19" s="18" t="n">
        <x:v>0.5365218542175755</x:v>
      </x:c>
      <x:c r="S19" s="18" t="n">
        <x:v>0.4075431547526984</x:v>
      </x:c>
      <x:c r="T19" s="18" t="n">
        <x:v>0.6047823918194288</x:v>
      </x:c>
      <x:c r="U19" s="18" t="n">
        <x:v>0.5926977370720452</x:v>
      </x:c>
      <x:c r="V19" s="16" t="n">
        <x:v>10645</x:v>
      </x:c>
      <x:c r="W19" s="16" t="n">
        <x:v>26461</x:v>
      </x:c>
      <x:c r="X19" s="16" t="n">
        <x:v>6429</x:v>
      </x:c>
      <x:c r="Y19" s="16" t="n">
        <x:v>6992</x:v>
      </x:c>
      <x:c r="Z19" s="16" t="n">
        <x:v>166089</x:v>
      </x:c>
      <x:c r="AA19" s="18" t="n">
        <x:v>0.2868808278984531</x:v>
      </x:c>
      <x:c r="AB19" s="18" t="n">
        <x:v>0.6234625746749444</x:v>
      </x:c>
      <x:c r="AC19" s="18" t="n">
        <x:v>0.9596027293579307</x:v>
      </x:c>
      <x:c r="AD19" s="18" t="n">
        <x:v>0.7229180028624301</x:v>
      </x:c>
      <x:c r="AE19" s="18" t="n">
        <x:v>0.7907560350264905</x:v>
      </x:c>
      <x:c r="AF19" s="18" t="n">
        <x:v>0.17941401437987348</x:v>
      </x:c>
      <x:c r="AG19" s="18" t="n">
        <x:v>0.2502021020689081</x:v>
      </x:c>
      <x:c r="AH19" s="18" t="n">
        <x:v>-0.601436189806203</x:v>
      </x:c>
      <x:c r="AI19" s="18" t="n">
        <x:v>-0.48814846686322994</x:v>
      </x:c>
      <x:c r="AJ19" s="18" t="n">
        <x:v>0.4316418059596243</x:v>
      </x:c>
      <x:c r="AK19" s="18" t="n">
        <x:v>0.5260186679285619</x:v>
      </x:c>
      <x:c r="AL19" s="18" t="n">
        <x:v>0.25150785496977646</x:v>
      </x:c>
      <x:c r="AM19" s="18" t="n">
        <x:v>0.30790049082218096</x:v>
      </x:c>
      <x:c r="AN19" s="18" t="n">
        <x:v>0.4959031431142647</x:v>
      </x:c>
      <x:c r="AO19" s="18" t="n">
        <x:v>0.5771209195566841</x:v>
      </x:c>
      <x:c r="AP19" s="18" t="n">
        <x:v>0.3533106067556379</x:v>
      </x:c>
      <x:c r="AQ19" s="18" t="n">
        <x:v>0.4716314786747305</x:v>
      </x:c>
      <x:c r="AR19" s="18" t="n">
        <x:v>0.2579085170085965</x:v>
      </x:c>
      <x:c r="AS19" s="18" t="n">
        <x:v>0.3213739001998756</x:v>
      </x:c>
      <x:c r="AT19" s="18" t="n">
        <x:v>0.5906936293196957</x:v>
      </x:c>
      <x:c r="AU19" s="18" t="n">
        <x:v>0.6534402863906729</x:v>
      </x:c>
      <x:c r="AV19" s="18" t="n">
        <x:v>0.9528432166885329</x:v>
      </x:c>
      <x:c r="AW19" s="18" t="n">
        <x:v>0.9651440681053112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10" hidden="0" customWidth="1"/>
    <x:col min="4" max="4" width="20" hidden="0" customWidth="1"/>
    <x:col min="5" max="5" width="19" hidden="0" customWidth="1"/>
    <x:col min="6" max="6" width="17" hidden="0" customWidth="1"/>
    <x:col min="7" max="7" width="21" hidden="0" customWidth="1"/>
    <x:col min="8" max="8" width="22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reference_episodes</x:v>
      </x:c>
      <x:c r="E1" s="14" t="str">
        <x:v>detected_episodes</x:v>
      </x:c>
      <x:c r="F1" s="14" t="str">
        <x:v>missed_episodes</x:v>
      </x:c>
      <x:c r="G1" s="14" t="str">
        <x:v>median_delay_min</x:v>
      </x:c>
      <x:c r="H1" s="14" t="str">
        <x:v>episode_sensitivity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6" t="n">
        <x:v>1733</x:v>
      </x:c>
      <x:c r="E2" s="16" t="n">
        <x:v>42</x:v>
      </x:c>
      <x:c r="F2" s="16" t="n">
        <x:v>1691</x:v>
      </x:c>
      <x:c r="G2" s="18" t="n">
        <x:v>0</x:v>
      </x:c>
      <x:c r="H2" s="18" t="n">
        <x:v>0.024235429890363532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6" t="n">
        <x:v>1733</x:v>
      </x:c>
      <x:c r="E3" s="16" t="n">
        <x:v>230</x:v>
      </x:c>
      <x:c r="F3" s="16" t="n">
        <x:v>1503</x:v>
      </x:c>
      <x:c r="G3" s="18" t="n">
        <x:v>0.16666666666666666</x:v>
      </x:c>
      <x:c r="H3" s="18" t="n">
        <x:v>0.13271783035199078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6" t="n">
        <x:v>1733</x:v>
      </x:c>
      <x:c r="E4" s="16" t="n">
        <x:v>324</x:v>
      </x:c>
      <x:c r="F4" s="16" t="n">
        <x:v>1409</x:v>
      </x:c>
      <x:c r="G4" s="18" t="n">
        <x:v>0.08333333333333333</x:v>
      </x:c>
      <x:c r="H4" s="18" t="n">
        <x:v>0.1869590305828044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6" t="n">
        <x:v>2905</x:v>
      </x:c>
      <x:c r="E5" s="16" t="n">
        <x:v>167</x:v>
      </x:c>
      <x:c r="F5" s="16" t="n">
        <x:v>2738</x:v>
      </x:c>
      <x:c r="G5" s="18" t="n">
        <x:v>0</x:v>
      </x:c>
      <x:c r="H5" s="18" t="n">
        <x:v>0.05748709122203098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6" t="n">
        <x:v>2905</x:v>
      </x:c>
      <x:c r="E6" s="16" t="n">
        <x:v>468</x:v>
      </x:c>
      <x:c r="F6" s="16" t="n">
        <x:v>2437</x:v>
      </x:c>
      <x:c r="G6" s="18" t="n">
        <x:v>0.16666666666666666</x:v>
      </x:c>
      <x:c r="H6" s="18" t="n">
        <x:v>0.16110154905335627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6" t="n">
        <x:v>2905</x:v>
      </x:c>
      <x:c r="E7" s="16" t="n">
        <x:v>784</x:v>
      </x:c>
      <x:c r="F7" s="16" t="n">
        <x:v>2121</x:v>
      </x:c>
      <x:c r="G7" s="18" t="n">
        <x:v>0.08333333333333333</x:v>
      </x:c>
      <x:c r="H7" s="18" t="n">
        <x:v>0.26987951807228916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6" t="n">
        <x:v>5034</x:v>
      </x:c>
      <x:c r="E8" s="16" t="n">
        <x:v>516</x:v>
      </x:c>
      <x:c r="F8" s="16" t="n">
        <x:v>4518</x:v>
      </x:c>
      <x:c r="G8" s="18" t="n">
        <x:v>0</x:v>
      </x:c>
      <x:c r="H8" s="18" t="n">
        <x:v>0.10250297973778308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6" t="n">
        <x:v>5034</x:v>
      </x:c>
      <x:c r="E9" s="16" t="n">
        <x:v>1003</x:v>
      </x:c>
      <x:c r="F9" s="16" t="n">
        <x:v>4031</x:v>
      </x:c>
      <x:c r="G9" s="18" t="n">
        <x:v>0.08333333333333333</x:v>
      </x:c>
      <x:c r="H9" s="18" t="n">
        <x:v>0.1992451330949543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6" t="n">
        <x:v>5034</x:v>
      </x:c>
      <x:c r="E10" s="16" t="n">
        <x:v>1762</x:v>
      </x:c>
      <x:c r="F10" s="16" t="n">
        <x:v>3272</x:v>
      </x:c>
      <x:c r="G10" s="18" t="n">
        <x:v>0</x:v>
      </x:c>
      <x:c r="H10" s="18" t="n">
        <x:v>0.35001986491855386</x:v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3" hidden="0" customWidth="1"/>
    <x:col min="4" max="4" width="19" hidden="0" customWidth="1"/>
    <x:col min="5" max="5" width="16" hidden="0" customWidth="1"/>
    <x:col min="6" max="6" width="26" hidden="0" customWidth="1"/>
    <x:col min="7" max="7" width="24" hidden="0" customWidth="1"/>
  </x:cols>
  <x:sheetData>
    <x:row r="1" ht="32" customHeight="1">
      <x:c r="A1" s="14" t="str">
        <x:v>candidate_art_nibp_cases</x:v>
      </x:c>
      <x:c r="B1" s="14" t="str">
        <x:v>sampled_cases</x:v>
      </x:c>
      <x:c r="C1" s="14" t="str">
        <x:v>raw_records</x:v>
      </x:c>
      <x:c r="D1" s="14" t="str">
        <x:v>candidate_records</x:v>
      </x:c>
      <x:c r="E1" s="14" t="str">
        <x:v>display_events</x:v>
      </x:c>
      <x:c r="F1" s="14" t="str">
        <x:v>candidate_retention_rate</x:v>
      </x:c>
      <x:c r="G1" s="14" t="str">
        <x:v>display_retention_rate</x:v>
      </x:c>
    </x:row>
    <x:row r="2">
      <x:c r="A2" s="16" t="n">
        <x:v>2788</x:v>
      </x:c>
      <x:c r="B2" s="16" t="n">
        <x:v>500</x:v>
      </x:c>
      <x:c r="C2" s="16" t="n">
        <x:v>793671</x:v>
      </x:c>
      <x:c r="D2" s="16" t="n">
        <x:v>793336</x:v>
      </x:c>
      <x:c r="E2" s="16" t="n">
        <x:v>15950</x:v>
      </x:c>
      <x:c r="F2" s="18" t="n">
        <x:v>0.9995779107463924</x:v>
      </x:c>
      <x:c r="G2" s="18" t="n">
        <x:v>0.020096488343406778</x:v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10" hidden="0" customWidth="1"/>
    <x:col min="4" max="4" width="10" hidden="0" customWidth="1"/>
    <x:col min="5" max="5" width="22" hidden="0" customWidth="1"/>
    <x:col min="6" max="6" width="16" hidden="0" customWidth="1"/>
    <x:col min="7" max="7" width="10" hidden="0" customWidth="1"/>
    <x:col min="8" max="8" width="18" hidden="0" customWidth="1"/>
    <x:col min="9" max="9" width="34" hidden="0" customWidth="1"/>
    <x:col min="10" max="10" width="34" hidden="0" customWidth="1"/>
    <x:col min="11" max="11" width="26" hidden="0" customWidth="1"/>
    <x:col min="12" max="12" width="32" hidden="0" customWidth="1"/>
    <x:col min="13" max="13" width="23" hidden="0" customWidth="1"/>
    <x:col min="14" max="14" width="21" hidden="0" customWidth="1"/>
    <x:col min="15" max="15" width="20" hidden="0" customWidth="1"/>
    <x:col min="16" max="16" width="27" hidden="0" customWidth="1"/>
    <x:col min="17" max="17" width="30" hidden="0" customWidth="1"/>
    <x:col min="18" max="18" width="21" hidden="0" customWidth="1"/>
    <x:col min="19" max="19" width="20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tp</x:v>
      </x:c>
      <x:c r="E1" s="14" t="str">
        <x:v>fn_false_reassurance</x:v>
      </x:c>
      <x:c r="F1" s="14" t="str">
        <x:v>fp_overdisplay</x:v>
      </x:c>
      <x:c r="G1" s="14" t="str">
        <x:v>tn</x:v>
      </x:c>
      <x:c r="H1" s="14" t="str">
        <x:v>fn_display_valid</x:v>
      </x:c>
      <x:c r="I1" s="14" t="str">
        <x:v>reference_low_display_unavailable</x:v>
      </x:c>
      <x:c r="J1" s="14" t="str">
        <x:v>reference_not_low_display_unavailable</x:v>
      </x:c>
      <x:c r="K1" s="14" t="str">
        <x:v>display_valid_timepoints</x:v>
      </x:c>
      <x:c r="L1" s="14" t="str">
        <x:v>display_unavailable_timepoints</x:v>
      </x:c>
      <x:c r="M1" s="14" t="str">
        <x:v>actual_display_events</x:v>
      </x:c>
      <x:c r="N1" s="14" t="str">
        <x:v>event_sensitivity</x:v>
      </x:c>
      <x:c r="O1" s="14" t="str">
        <x:v>specificity</x:v>
      </x:c>
      <x:c r="P1" s="14" t="str">
        <x:v>sensitivity_display_valid</x:v>
      </x:c>
      <x:c r="Q1" s="14" t="str">
        <x:v>display_unavailable_fraction</x:v>
      </x:c>
      <x:c r="R1" s="14" t="str">
        <x:v>ppv</x:v>
      </x:c>
      <x:c r="S1" s="14" t="str">
        <x:v>npv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6" t="n">
        <x:v>205</x:v>
      </x:c>
      <x:c r="E2" s="16" t="n">
        <x:v>5966</x:v>
      </x:c>
      <x:c r="F2" s="16" t="n">
        <x:v>3061</x:v>
      </x:c>
      <x:c r="G2" s="16" t="n">
        <x:v>183876</x:v>
      </x:c>
      <x:c r="H2" s="16" t="n">
        <x:v>3013</x:v>
      </x:c>
      <x:c r="I2" s="16" t="n">
        <x:v>2953</x:v>
      </x:c>
      <x:c r="J2" s="16" t="n">
        <x:v>288032</x:v>
      </x:c>
      <x:c r="K2" s="16" t="n">
        <x:v>190155</x:v>
      </x:c>
      <x:c r="L2" s="16" t="n">
        <x:v>290985</x:v>
      </x:c>
      <x:c r="M2" s="16" t="n">
        <x:v>13687</x:v>
      </x:c>
      <x:c r="N2" s="18" t="n">
        <x:v>0.03321989953005996</x:v>
      </x:c>
      <x:c r="O2" s="18" t="n">
        <x:v>0.9836254994998315</x:v>
      </x:c>
      <x:c r="P2" s="18" t="n">
        <x:v>0.0637041640770665</x:v>
      </x:c>
      <x:c r="Q2" s="18" t="n">
        <x:v>0.6047823918194288</x:v>
      </x:c>
      <x:c r="R2" s="18" t="n">
        <x:v>0.06276791181873852</x:v>
      </x:c>
      <x:c r="S2" s="18" t="n">
        <x:v>0.9685738666891415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6" t="n">
        <x:v>1298</x:v>
      </x:c>
      <x:c r="E3" s="16" t="n">
        <x:v>4873</x:v>
      </x:c>
      <x:c r="F3" s="16" t="n">
        <x:v>1548</x:v>
      </x:c>
      <x:c r="G3" s="16" t="n">
        <x:v>185389</x:v>
      </x:c>
      <x:c r="H3" s="16" t="n">
        <x:v>1920</x:v>
      </x:c>
      <x:c r="I3" s="16" t="n">
        <x:v>2953</x:v>
      </x:c>
      <x:c r="J3" s="16" t="n">
        <x:v>288032</x:v>
      </x:c>
      <x:c r="K3" s="16" t="n">
        <x:v>190155</x:v>
      </x:c>
      <x:c r="L3" s="16" t="n">
        <x:v>290985</x:v>
      </x:c>
      <x:c r="M3" s="16" t="n">
        <x:v>13687</x:v>
      </x:c>
      <x:c r="N3" s="18" t="n">
        <x:v>0.2103386809269162</x:v>
      </x:c>
      <x:c r="O3" s="18" t="n">
        <x:v>0.9917191353236652</x:v>
      </x:c>
      <x:c r="P3" s="18" t="n">
        <x:v>0.4033561218147918</x:v>
      </x:c>
      <x:c r="Q3" s="18" t="n">
        <x:v>0.6047823918194288</x:v>
      </x:c>
      <x:c r="R3" s="18" t="n">
        <x:v>0.4560787069571328</x:v>
      </x:c>
      <x:c r="S3" s="18" t="n">
        <x:v>0.9743879492489305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6" t="n">
        <x:v>1865</x:v>
      </x:c>
      <x:c r="E4" s="16" t="n">
        <x:v>4306</x:v>
      </x:c>
      <x:c r="F4" s="16" t="n">
        <x:v>4570</x:v>
      </x:c>
      <x:c r="G4" s="16" t="n">
        <x:v>465904</x:v>
      </x:c>
      <x:c r="H4" s="16" t="n">
        <x:v>3367</x:v>
      </x:c>
      <x:c r="I4" s="16" t="n">
        <x:v>939</x:v>
      </x:c>
      <x:c r="J4" s="16" t="n">
        <x:v>4495</x:v>
      </x:c>
      <x:c r="K4" s="16" t="n">
        <x:v>475706</x:v>
      </x:c>
      <x:c r="L4" s="16" t="n">
        <x:v>5434</x:v>
      </x:c>
      <x:c r="M4" s="16" t="n">
        <x:v>13687</x:v>
      </x:c>
      <x:c r="N4" s="18" t="n">
        <x:v>0.30222006157835035</x:v>
      </x:c>
      <x:c r="O4" s="18" t="n">
        <x:v>0.9902863920216632</x:v>
      </x:c>
      <x:c r="P4" s="18" t="n">
        <x:v>0.35646024464831805</x:v>
      </x:c>
      <x:c r="Q4" s="18" t="n">
        <x:v>0.011294010059442158</x:v>
      </x:c>
      <x:c r="R4" s="18" t="n">
        <x:v>0.2898212898212898</x:v>
      </x:c>
      <x:c r="S4" s="18" t="n">
        <x:v>0.9908423895706174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6" t="n">
        <x:v>1197</x:v>
      </x:c>
      <x:c r="E5" s="16" t="n">
        <x:v>13705</x:v>
      </x:c>
      <x:c r="F5" s="16" t="n">
        <x:v>9355</x:v>
      </x:c>
      <x:c r="G5" s="16" t="n">
        <x:v>173414</x:v>
      </x:c>
      <x:c r="H5" s="16" t="n">
        <x:v>6189</x:v>
      </x:c>
      <x:c r="I5" s="16" t="n">
        <x:v>7516</x:v>
      </x:c>
      <x:c r="J5" s="16" t="n">
        <x:v>283469</x:v>
      </x:c>
      <x:c r="K5" s="16" t="n">
        <x:v>190155</x:v>
      </x:c>
      <x:c r="L5" s="16" t="n">
        <x:v>290985</x:v>
      </x:c>
      <x:c r="M5" s="16" t="n">
        <x:v>13687</x:v>
      </x:c>
      <x:c r="N5" s="18" t="n">
        <x:v>0.08032478861897732</x:v>
      </x:c>
      <x:c r="O5" s="18" t="n">
        <x:v>0.9488151710629265</x:v>
      </x:c>
      <x:c r="P5" s="18" t="n">
        <x:v>0.1620633631194151</x:v>
      </x:c>
      <x:c r="Q5" s="18" t="n">
        <x:v>0.6047823918194288</x:v>
      </x:c>
      <x:c r="R5" s="18" t="n">
        <x:v>0.11343821076573161</x:v>
      </x:c>
      <x:c r="S5" s="18" t="n">
        <x:v>0.9267578385946911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6" t="n">
        <x:v>3870</x:v>
      </x:c>
      <x:c r="E6" s="16" t="n">
        <x:v>11032</x:v>
      </x:c>
      <x:c r="F6" s="16" t="n">
        <x:v>3559</x:v>
      </x:c>
      <x:c r="G6" s="16" t="n">
        <x:v>179210</x:v>
      </x:c>
      <x:c r="H6" s="16" t="n">
        <x:v>3516</x:v>
      </x:c>
      <x:c r="I6" s="16" t="n">
        <x:v>7516</x:v>
      </x:c>
      <x:c r="J6" s="16" t="n">
        <x:v>283469</x:v>
      </x:c>
      <x:c r="K6" s="16" t="n">
        <x:v>190155</x:v>
      </x:c>
      <x:c r="L6" s="16" t="n">
        <x:v>290985</x:v>
      </x:c>
      <x:c r="M6" s="16" t="n">
        <x:v>13687</x:v>
      </x:c>
      <x:c r="N6" s="18" t="n">
        <x:v>0.25969668500872367</x:v>
      </x:c>
      <x:c r="O6" s="18" t="n">
        <x:v>0.9805273323156553</x:v>
      </x:c>
      <x:c r="P6" s="18" t="n">
        <x:v>0.5239642567018684</x:v>
      </x:c>
      <x:c r="Q6" s="18" t="n">
        <x:v>0.6047823918194288</x:v>
      </x:c>
      <x:c r="R6" s="18" t="n">
        <x:v>0.5209314847220353</x:v>
      </x:c>
      <x:c r="S6" s="18" t="n">
        <x:v>0.9420107021583036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6" t="n">
        <x:v>6472</x:v>
      </x:c>
      <x:c r="E7" s="16" t="n">
        <x:v>8430</x:v>
      </x:c>
      <x:c r="F7" s="16" t="n">
        <x:v>9077</x:v>
      </x:c>
      <x:c r="G7" s="16" t="n">
        <x:v>452886</x:v>
      </x:c>
      <x:c r="H7" s="16" t="n">
        <x:v>7271</x:v>
      </x:c>
      <x:c r="I7" s="16" t="n">
        <x:v>1159</x:v>
      </x:c>
      <x:c r="J7" s="16" t="n">
        <x:v>4275</x:v>
      </x:c>
      <x:c r="K7" s="16" t="n">
        <x:v>475706</x:v>
      </x:c>
      <x:c r="L7" s="16" t="n">
        <x:v>5434</x:v>
      </x:c>
      <x:c r="M7" s="16" t="n">
        <x:v>13687</x:v>
      </x:c>
      <x:c r="N7" s="18" t="n">
        <x:v>0.43430412025231513</x:v>
      </x:c>
      <x:c r="O7" s="18" t="n">
        <x:v>0.9803512402508426</x:v>
      </x:c>
      <x:c r="P7" s="18" t="n">
        <x:v>0.47093065560649056</x:v>
      </x:c>
      <x:c r="Q7" s="18" t="n">
        <x:v>0.011294010059442158</x:v>
      </x:c>
      <x:c r="R7" s="18" t="n">
        <x:v>0.41623255514824103</x:v>
      </x:c>
      <x:c r="S7" s="18" t="n">
        <x:v>0.9817261920245558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6" t="n">
        <x:v>4421</x:v>
      </x:c>
      <x:c r="E8" s="16" t="n">
        <x:v>32685</x:v>
      </x:c>
      <x:c r="F8" s="16" t="n">
        <x:v>18306</x:v>
      </x:c>
      <x:c r="G8" s="16" t="n">
        <x:v>154775</x:v>
      </x:c>
      <x:c r="H8" s="16" t="n">
        <x:v>12653</x:v>
      </x:c>
      <x:c r="I8" s="16" t="n">
        <x:v>20032</x:v>
      </x:c>
      <x:c r="J8" s="16" t="n">
        <x:v>270953</x:v>
      </x:c>
      <x:c r="K8" s="16" t="n">
        <x:v>190155</x:v>
      </x:c>
      <x:c r="L8" s="16" t="n">
        <x:v>290985</x:v>
      </x:c>
      <x:c r="M8" s="16" t="n">
        <x:v>13687</x:v>
      </x:c>
      <x:c r="N8" s="18" t="n">
        <x:v>0.11914515172748343</x:v>
      </x:c>
      <x:c r="O8" s="18" t="n">
        <x:v>0.8942344913653145</x:v>
      </x:c>
      <x:c r="P8" s="18" t="n">
        <x:v>0.2589317090312756</x:v>
      </x:c>
      <x:c r="Q8" s="18" t="n">
        <x:v>0.6047823918194288</x:v>
      </x:c>
      <x:c r="R8" s="18" t="n">
        <x:v>0.1945263343160118</x:v>
      </x:c>
      <x:c r="S8" s="18" t="n">
        <x:v>0.8256428037981436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6" t="n">
        <x:v>10645</x:v>
      </x:c>
      <x:c r="E9" s="16" t="n">
        <x:v>26461</x:v>
      </x:c>
      <x:c r="F9" s="16" t="n">
        <x:v>6992</x:v>
      </x:c>
      <x:c r="G9" s="16" t="n">
        <x:v>166089</x:v>
      </x:c>
      <x:c r="H9" s="16" t="n">
        <x:v>6429</x:v>
      </x:c>
      <x:c r="I9" s="16" t="n">
        <x:v>20032</x:v>
      </x:c>
      <x:c r="J9" s="16" t="n">
        <x:v>270953</x:v>
      </x:c>
      <x:c r="K9" s="16" t="n">
        <x:v>190155</x:v>
      </x:c>
      <x:c r="L9" s="16" t="n">
        <x:v>290985</x:v>
      </x:c>
      <x:c r="M9" s="16" t="n">
        <x:v>13687</x:v>
      </x:c>
      <x:c r="N9" s="18" t="n">
        <x:v>0.2868808278984531</x:v>
      </x:c>
      <x:c r="O9" s="18" t="n">
        <x:v>0.9596027293579307</x:v>
      </x:c>
      <x:c r="P9" s="18" t="n">
        <x:v>0.6234625746749444</x:v>
      </x:c>
      <x:c r="Q9" s="18" t="n">
        <x:v>0.6047823918194288</x:v>
      </x:c>
      <x:c r="R9" s="18" t="n">
        <x:v>0.6035606962635369</x:v>
      </x:c>
      <x:c r="S9" s="18" t="n">
        <x:v>0.862575954297585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6" t="n">
        <x:v>20585</x:v>
      </x:c>
      <x:c r="E10" s="16" t="n">
        <x:v>16521</x:v>
      </x:c>
      <x:c r="F10" s="16" t="n">
        <x:v>15916</x:v>
      </x:c>
      <x:c r="G10" s="16" t="n">
        <x:v>424154</x:v>
      </x:c>
      <x:c r="H10" s="16" t="n">
        <x:v>15051</x:v>
      </x:c>
      <x:c r="I10" s="16" t="n">
        <x:v>1470</x:v>
      </x:c>
      <x:c r="J10" s="16" t="n">
        <x:v>3964</x:v>
      </x:c>
      <x:c r="K10" s="16" t="n">
        <x:v>475706</x:v>
      </x:c>
      <x:c r="L10" s="16" t="n">
        <x:v>5434</x:v>
      </x:c>
      <x:c r="M10" s="16" t="n">
        <x:v>13687</x:v>
      </x:c>
      <x:c r="N10" s="18" t="n">
        <x:v>0.5547620330943782</x:v>
      </x:c>
      <x:c r="O10" s="18" t="n">
        <x:v>0.9638330265639558</x:v>
      </x:c>
      <x:c r="P10" s="18" t="n">
        <x:v>0.5776462004714333</x:v>
      </x:c>
      <x:c r="Q10" s="18" t="n">
        <x:v>0.011294010059442158</x:v>
      </x:c>
      <x:c r="R10" s="18" t="n">
        <x:v>0.5639571518588532</x:v>
      </x:c>
      <x:c r="S10" s="18" t="n">
        <x:v>0.9625097861235604</x:v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2" hidden="0" customWidth="1"/>
    <x:col min="4" max="4" width="16" hidden="0" customWidth="1"/>
    <x:col min="5" max="5" width="10" hidden="0" customWidth="1"/>
    <x:col min="6" max="6" width="21" hidden="0" customWidth="1"/>
    <x:col min="7" max="7" width="20" hidden="0" customWidth="1"/>
    <x:col min="8" max="8" width="21" hidden="0" customWidth="1"/>
    <x:col min="9" max="9" width="20" hidden="0" customWidth="1"/>
  </x:cols>
  <x:sheetData>
    <x:row r="1" ht="32" customHeight="1">
      <x:c r="A1" s="14" t="str">
        <x:v>threshold</x:v>
      </x:c>
      <x:c r="B1" s="14" t="str">
        <x:v>tp</x:v>
      </x:c>
      <x:c r="C1" s="14" t="str">
        <x:v>fn_false_reassurance</x:v>
      </x:c>
      <x:c r="D1" s="14" t="str">
        <x:v>fp_overdisplay</x:v>
      </x:c>
      <x:c r="E1" s="14" t="str">
        <x:v>tn</x:v>
      </x:c>
      <x:c r="F1" s="14" t="str">
        <x:v>sensitivity</x:v>
      </x:c>
      <x:c r="G1" s="14" t="str">
        <x:v>specificity</x:v>
      </x:c>
      <x:c r="H1" s="14" t="str">
        <x:v>ppv</x:v>
      </x:c>
      <x:c r="I1" s="14" t="str">
        <x:v>npv</x:v>
      </x:c>
    </x:row>
    <x:row r="2">
      <x:c r="A2" s="16" t="n">
        <x:v>55</x:v>
      </x:c>
      <x:c r="B2" s="16" t="n">
        <x:v>20</x:v>
      </x:c>
      <x:c r="C2" s="16" t="n">
        <x:v>142</x:v>
      </x:c>
      <x:c r="D2" s="16" t="n">
        <x:v>171</x:v>
      </x:c>
      <x:c r="E2" s="16" t="n">
        <x:v>10542</x:v>
      </x:c>
      <x:c r="F2" s="18" t="n">
        <x:v>0.12345679012345678</x:v>
      </x:c>
      <x:c r="G2" s="18" t="n">
        <x:v>0.9840380845701484</x:v>
      </x:c>
      <x:c r="H2" s="18" t="n">
        <x:v>0.10471204188481675</x:v>
      </x:c>
      <x:c r="I2" s="18" t="n">
        <x:v>0.9867090977162112</x:v>
      </x:c>
    </x:row>
    <x:row r="3">
      <x:c r="A3" s="16" t="n">
        <x:v>60</x:v>
      </x:c>
      <x:c r="B3" s="16" t="n">
        <x:v>80</x:v>
      </x:c>
      <x:c r="C3" s="16" t="n">
        <x:v>317</x:v>
      </x:c>
      <x:c r="D3" s="16" t="n">
        <x:v>529</x:v>
      </x:c>
      <x:c r="E3" s="16" t="n">
        <x:v>9949</x:v>
      </x:c>
      <x:c r="F3" s="18" t="n">
        <x:v>0.20151133501259447</x:v>
      </x:c>
      <x:c r="G3" s="18" t="n">
        <x:v>0.949513265890437</x:v>
      </x:c>
      <x:c r="H3" s="18" t="n">
        <x:v>0.13136288998357964</x:v>
      </x:c>
      <x:c r="I3" s="18" t="n">
        <x:v>0.969121371517631</x:v>
      </x:c>
    </x:row>
    <x:row r="4">
      <x:c r="A4" s="16" t="n">
        <x:v>65</x:v>
      </x:c>
      <x:c r="B4" s="16" t="n">
        <x:v>300</x:v>
      </x:c>
      <x:c r="C4" s="16" t="n">
        <x:v>698</x:v>
      </x:c>
      <x:c r="D4" s="16" t="n">
        <x:v>1011</x:v>
      </x:c>
      <x:c r="E4" s="16" t="n">
        <x:v>8866</x:v>
      </x:c>
      <x:c r="F4" s="18" t="n">
        <x:v>0.30060120240480964</x:v>
      </x:c>
      <x:c r="G4" s="18" t="n">
        <x:v>0.8976409841044851</x:v>
      </x:c>
      <x:c r="H4" s="18" t="n">
        <x:v>0.2288329519450801</x:v>
      </x:c>
      <x:c r="I4" s="18" t="n">
        <x:v>0.9270179841070681</x:v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22" hidden="0" customWidth="1"/>
    <x:col min="4" max="4" width="34" hidden="0" customWidth="1"/>
  </x:cols>
  <x:sheetData>
    <x:row r="1" ht="32" customHeight="1">
      <x:c r="A1" s="14" t="str">
        <x:v>step</x:v>
      </x:c>
      <x:c r="B1" s="14" t="str">
        <x:v>n_events</x:v>
      </x:c>
      <x:c r="C1" s="14" t="str">
        <x:v>excluded_from_parent</x:v>
      </x:c>
      <x:c r="D1" s="14" t="str">
        <x:v>definition</x:v>
      </x:c>
    </x:row>
    <x:row r="2">
      <x:c r="A2" s="8" t="str">
        <x:v>raw_nibp_records</x:v>
      </x:c>
      <x:c r="B2" s="16" t="n">
        <x:v>793671</x:v>
      </x:c>
      <x:c r="C2" s="16"/>
      <x:c r="D2" s="8" t="str">
        <x:v>all raw NIBP rows in the predefined 500-case subset</x:v>
      </x:c>
    </x:row>
    <x:row r="3">
      <x:c r="A3" s="8" t="str">
        <x:v>physiologically_plausible_candidate_records</x:v>
      </x:c>
      <x:c r="B3" s="16" t="n">
        <x:v>793336</x:v>
      </x:c>
      <x:c r="C3" s="16" t="n">
        <x:v>335</x:v>
      </x:c>
      <x:c r="D3" s="8" t="str">
        <x:v>finite NIBP MAP 20-180 mm Hg before de-duplication</x:v>
      </x:c>
    </x:row>
    <x:row r="4">
      <x:c r="A4" s="8" t="str">
        <x:v>reconstructed_cuff_events</x:v>
      </x:c>
      <x:c r="B4" s="16" t="n">
        <x:v>15950</x:v>
      </x:c>
      <x:c r="C4" s="16" t="n">
        <x:v>777386</x:v>
      </x:c>
      <x:c r="D4" s="8" t="str">
        <x:v>events after the 90-s hold and 120-s repeated-value minimum-gap rule</x:v>
      </x:c>
    </x:row>
    <x:row r="5">
      <x:c r="A5" s="8" t="str">
        <x:v>events_in_365_case_mechanism_subset</x:v>
      </x:c>
      <x:c r="B5" s="16" t="n">
        <x:v>13687</x:v>
      </x:c>
      <x:c r="C5" s="16" t="n">
        <x:v>2263</x:v>
      </x:c>
      <x:c r="D5" s="8" t="str">
        <x:v>reconstructed events in cases meeting primary arterial-series coverage</x:v>
      </x:c>
    </x:row>
    <x:row r="6">
      <x:c r="A6" s="8" t="str">
        <x:v>successfully_paired_events</x:v>
      </x:c>
      <x:c r="B6" s="16" t="n">
        <x:v>10875</x:v>
      </x:c>
      <x:c r="C6" s="16" t="n">
        <x:v>2812</x:v>
      </x:c>
      <x:c r="D6" s="8" t="str">
        <x:v>median of valid 10-s arterial MAP values within -30 to +30 s with &gt;=80% coverage</x:v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0" hidden="0" customWidth="1"/>
    <x:col min="4" max="4" width="10" hidden="0" customWidth="1"/>
  </x:cols>
  <x:sheetData>
    <x:row r="1" ht="32" customHeight="1">
      <x:c r="A1" s="14" t="str">
        <x:v>check</x:v>
      </x:c>
      <x:c r="B1" s="14" t="str">
        <x:v>left</x:v>
      </x:c>
      <x:c r="C1" s="14" t="str">
        <x:v>right</x:v>
      </x:c>
      <x:c r="D1" s="14" t="str">
        <x:v>passed</x:v>
      </x:c>
    </x:row>
    <x:row r="2">
      <x:c r="A2" s="8" t="str">
        <x:v>500_minus_exclusions_equals_365</x:v>
      </x:c>
      <x:c r="B2" s="16" t="n">
        <x:v>365</x:v>
      </x:c>
      <x:c r="C2" s="16" t="n">
        <x:v>365</x:v>
      </x:c>
      <x:c r="D2" s="28" t="b">
        <x:v>1</x:v>
      </x:c>
    </x:row>
    <x:row r="3">
      <x:c r="A3" s="8" t="str">
        <x:v>365_equals_347_plus_18</x:v>
      </x:c>
      <x:c r="B3" s="16" t="n">
        <x:v>365</x:v>
      </x:c>
      <x:c r="C3" s="16" t="n">
        <x:v>365</x:v>
      </x:c>
      <x:c r="D3" s="28" t="b">
        <x:v>1</x:v>
      </x:c>
    </x:row>
    <x:row r="4">
      <x:c r="A4" s="8" t="str">
        <x:v>15950_equals_subset_events_plus_excluded_events</x:v>
      </x:c>
      <x:c r="B4" s="16" t="n">
        <x:v>15950</x:v>
      </x:c>
      <x:c r="C4" s="16" t="n">
        <x:v>15950</x:v>
      </x:c>
      <x:c r="D4" s="28" t="b">
        <x:v>1</x:v>
      </x:c>
    </x:row>
    <x:row r="5">
      <x:c r="A5" s="8" t="str">
        <x:v>13687_equals_paired_plus_failed</x:v>
      </x:c>
      <x:c r="B5" s="16" t="n">
        <x:v>13687</x:v>
      </x:c>
      <x:c r="C5" s="16" t="n">
        <x:v>13687</x:v>
      </x:c>
      <x:c r="D5" s="28" t="b">
        <x:v>1</x:v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0" hidden="0" customWidth="1"/>
    <x:col min="4" max="4" width="20" hidden="0" customWidth="1"/>
    <x:col min="5" max="5" width="20" hidden="0" customWidth="1"/>
    <x:col min="6" max="6" width="20" hidden="0" customWidth="1"/>
    <x:col min="7" max="7" width="34" hidden="0" customWidth="1"/>
  </x:cols>
  <x:sheetData>
    <x:row r="1" ht="32" customHeight="1">
      <x:c r="A1" s="14" t="str">
        <x:v>analysis</x:v>
      </x:c>
      <x:c r="B1" s="14" t="str">
        <x:v>events</x:v>
      </x:c>
      <x:c r="C1" s="14" t="str">
        <x:v>cases</x:v>
      </x:c>
      <x:c r="D1" s="14" t="str">
        <x:v>mean_difference</x:v>
      </x:c>
      <x:c r="E1" s="14" t="str">
        <x:v>ci_low</x:v>
      </x:c>
      <x:c r="F1" s="14" t="str">
        <x:v>ci_high</x:v>
      </x:c>
      <x:c r="G1" s="14" t="str">
        <x:v>interpretation</x:v>
      </x:c>
    </x:row>
    <x:row r="2">
      <x:c r="A2" s="8" t="str">
        <x:v>event_weighted_conditioned_on_arterial_map_lt55</x:v>
      </x:c>
      <x:c r="B2" s="16" t="n">
        <x:v>162</x:v>
      </x:c>
      <x:c r="C2" s="16" t="n">
        <x:v>83</x:v>
      </x:c>
      <x:c r="D2" s="18" t="n">
        <x:v>29.59722222222222</x:v>
      </x:c>
      <x:c r="E2" s="18" t="n">
        <x:v>23.289728033042906</x:v>
      </x:c>
      <x:c r="F2" s="18" t="n">
        <x:v>35.85174224705475</x:v>
      </x:c>
      <x:c r="G2" s="8" t="str">
        <x:v>conditional paired difference; arterial-reference conditioning may induce mathematical coupling</x:v>
      </x:c>
    </x:row>
    <x:row r="3">
      <x:c r="A3" s="8" t="str">
        <x:v>case_equal_weighted_conditioned_on_arterial_map_lt55</x:v>
      </x:c>
      <x:c r="B3" s="16" t="n">
        <x:v>162</x:v>
      </x:c>
      <x:c r="C3" s="16" t="n">
        <x:v>83</x:v>
      </x:c>
      <x:c r="D3" s="18" t="n">
        <x:v>29.066336775674124</x:v>
      </x:c>
      <x:c r="E3" s="18" t="n">
        <x:v>23.971986158921396</x:v>
      </x:c>
      <x:c r="F3" s="18" t="n">
        <x:v>34.447805507745265</x:v>
      </x:c>
      <x:c r="G3" s="8" t="str">
        <x:v>conditional paired difference; arterial-reference conditioning may induce mathematical coupling</x:v>
      </x:c>
    </x:row>
    <x:row r="4">
      <x:c r="A4" s="8" t="str">
        <x:v>one_random_low_map_event_per_case</x:v>
      </x:c>
      <x:c r="B4" s="16" t="n">
        <x:v>83</x:v>
      </x:c>
      <x:c r="C4" s="16" t="n">
        <x:v>83</x:v>
      </x:c>
      <x:c r="D4" s="18" t="n">
        <x:v>29.03837048192771</x:v>
      </x:c>
      <x:c r="E4" s="18" t="n">
        <x:v>27.38539156626506</x:v>
      </x:c>
      <x:c r="F4" s="18" t="n">
        <x:v>30.78335843373494</x:v>
      </x:c>
      <x:c r="G4" s="8" t="str">
        <x:v>conditional paired difference; arterial-reference conditioning may induce mathematical coupling</x:v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3" hidden="0" customWidth="1"/>
    <x:col min="3" max="3" width="15" hidden="0" customWidth="1"/>
    <x:col min="4" max="4" width="10" hidden="0" customWidth="1"/>
    <x:col min="5" max="5" width="21" hidden="0" customWidth="1"/>
    <x:col min="6" max="6" width="20" hidden="0" customWidth="1"/>
    <x:col min="7" max="7" width="18" hidden="0" customWidth="1"/>
    <x:col min="8" max="8" width="20" hidden="0" customWidth="1"/>
    <x:col min="9" max="9" width="21" hidden="0" customWidth="1"/>
    <x:col min="10" max="10" width="34" hidden="0" customWidth="1"/>
  </x:cols>
  <x:sheetData>
    <x:row r="1" ht="32" customHeight="1">
      <x:c r="A1" s="14" t="str">
        <x:v>art_map_stratum</x:v>
      </x:c>
      <x:c r="B1" s="14" t="str">
        <x:v>conditioning_variable</x:v>
      </x:c>
      <x:c r="C1" s="14" t="str">
        <x:v>paired_events</x:v>
      </x:c>
      <x:c r="D1" s="14" t="str">
        <x:v>cases</x:v>
      </x:c>
      <x:c r="E1" s="14" t="str">
        <x:v>mean_bias</x:v>
      </x:c>
      <x:c r="F1" s="14" t="str">
        <x:v>sd_bias</x:v>
      </x:c>
      <x:c r="G1" s="14" t="str">
        <x:v>median_abs_error</x:v>
      </x:c>
      <x:c r="H1" s="14" t="str">
        <x:v>mean_bias_ci_low</x:v>
      </x:c>
      <x:c r="I1" s="14" t="str">
        <x:v>mean_bias_ci_high</x:v>
      </x:c>
      <x:c r="J1" s="14" t="str">
        <x:v>interpretation</x:v>
      </x:c>
    </x:row>
    <x:row r="2">
      <x:c r="A2" s="8" t="str">
        <x:v>&lt;55</x:v>
      </x:c>
      <x:c r="B2" s="8" t="str">
        <x:v>art_map_ref</x:v>
      </x:c>
      <x:c r="C2" s="16" t="n">
        <x:v>162</x:v>
      </x:c>
      <x:c r="D2" s="16" t="n">
        <x:v>83</x:v>
      </x:c>
      <x:c r="E2" s="18" t="n">
        <x:v>29.59722222222222</x:v>
      </x:c>
      <x:c r="F2" s="18" t="n">
        <x:v>26.871029245879644</x:v>
      </x:c>
      <x:c r="G2" s="18" t="n">
        <x:v>22.75</x:v>
      </x:c>
      <x:c r="H2" s="18" t="n">
        <x:v>23.289728033042906</x:v>
      </x:c>
      <x:c r="I2" s="18" t="n">
        <x:v>35.85174224705475</x:v>
      </x:c>
      <x:c r="J2" s="8" t="str">
        <x:v>conditional paired difference; not calibration bias</x:v>
      </x:c>
    </x:row>
    <x:row r="3">
      <x:c r="A3" s="8" t="str">
        <x:v>55-60</x:v>
      </x:c>
      <x:c r="B3" s="8" t="str">
        <x:v>art_map_ref</x:v>
      </x:c>
      <x:c r="C3" s="16" t="n">
        <x:v>235</x:v>
      </x:c>
      <x:c r="D3" s="16" t="n">
        <x:v>112</x:v>
      </x:c>
      <x:c r="E3" s="18" t="n">
        <x:v>16.32127659574468</x:v>
      </x:c>
      <x:c r="F3" s="18" t="n">
        <x:v>18.26433620463162</x:v>
      </x:c>
      <x:c r="G3" s="18" t="n">
        <x:v>11</x:v>
      </x:c>
      <x:c r="H3" s="18" t="n">
        <x:v>13.268073303701646</x:v>
      </x:c>
      <x:c r="I3" s="18" t="n">
        <x:v>19.037719011506276</x:v>
      </x:c>
      <x:c r="J3" s="8" t="str">
        <x:v>conditional paired difference; not calibration bias</x:v>
      </x:c>
    </x:row>
    <x:row r="4">
      <x:c r="A4" s="8" t="str">
        <x:v>60-65</x:v>
      </x:c>
      <x:c r="B4" s="8" t="str">
        <x:v>art_map_ref</x:v>
      </x:c>
      <x:c r="C4" s="16" t="n">
        <x:v>601</x:v>
      </x:c>
      <x:c r="D4" s="16" t="n">
        <x:v>187</x:v>
      </x:c>
      <x:c r="E4" s="18" t="n">
        <x:v>10.9346921797005</x:v>
      </x:c>
      <x:c r="F4" s="18" t="n">
        <x:v>16.38411319785385</x:v>
      </x:c>
      <x:c r="G4" s="18" t="n">
        <x:v>9</x:v>
      </x:c>
      <x:c r="H4" s="18" t="n">
        <x:v>8.971296106026275</x:v>
      </x:c>
      <x:c r="I4" s="18" t="n">
        <x:v>13.076002813658423</x:v>
      </x:c>
      <x:c r="J4" s="8" t="str">
        <x:v>conditional paired difference; not calibration bias</x:v>
      </x:c>
    </x:row>
    <x:row r="5">
      <x:c r="A5" s="8" t="str">
        <x:v>65-75</x:v>
      </x:c>
      <x:c r="B5" s="8" t="str">
        <x:v>art_map_ref</x:v>
      </x:c>
      <x:c r="C5" s="16" t="n">
        <x:v>2396</x:v>
      </x:c>
      <x:c r="D5" s="16" t="n">
        <x:v>287</x:v>
      </x:c>
      <x:c r="E5" s="18" t="n">
        <x:v>5.236748747913189</x:v>
      </x:c>
      <x:c r="F5" s="18" t="n">
        <x:v>14.069821296088328</x:v>
      </x:c>
      <x:c r="G5" s="18" t="n">
        <x:v>8</x:v>
      </x:c>
      <x:c r="H5" s="18" t="n">
        <x:v>3.970295798126845</x:v>
      </x:c>
      <x:c r="I5" s="18" t="n">
        <x:v>6.582846739156451</x:v>
      </x:c>
      <x:c r="J5" s="8" t="str">
        <x:v>conditional paired difference; not calibration bias</x:v>
      </x:c>
    </x:row>
    <x:row r="6">
      <x:c r="A6" s="8" t="str">
        <x:v>&gt;=75</x:v>
      </x:c>
      <x:c r="B6" s="8" t="str">
        <x:v>art_map_ref</x:v>
      </x:c>
      <x:c r="C6" s="16" t="n">
        <x:v>7481</x:v>
      </x:c>
      <x:c r="D6" s="16" t="n">
        <x:v>343</x:v>
      </x:c>
      <x:c r="E6" s="18" t="n">
        <x:v>-3.5698436037962837</x:v>
      </x:c>
      <x:c r="F6" s="18" t="n">
        <x:v>16.376434834133054</x:v>
      </x:c>
      <x:c r="G6" s="18" t="n">
        <x:v>9</x:v>
      </x:c>
      <x:c r="H6" s="18" t="n">
        <x:v>-4.674151427624949</x:v>
      </x:c>
      <x:c r="I6" s="18" t="n">
        <x:v>-2.4759114507189928</x:v>
      </x:c>
      <x:c r="J6" s="8" t="str">
        <x:v>conditional paired difference; not calibration bias</x:v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10" hidden="0" customWidth="1"/>
    <x:col min="4" max="4" width="20" hidden="0" customWidth="1"/>
    <x:col min="5" max="5" width="20" hidden="0" customWidth="1"/>
    <x:col min="6" max="6" width="21" hidden="0" customWidth="1"/>
    <x:col min="7" max="7" width="21" hidden="0" customWidth="1"/>
    <x:col min="8" max="8" width="23" hidden="0" customWidth="1"/>
    <x:col min="9" max="9" width="22" hidden="0" customWidth="1"/>
    <x:col min="10" max="10" width="26" hidden="0" customWidth="1"/>
    <x:col min="11" max="11" width="27" hidden="0" customWidth="1"/>
    <x:col min="12" max="12" width="26" hidden="0" customWidth="1"/>
    <x:col min="13" max="13" width="27" hidden="0" customWidth="1"/>
    <x:col min="14" max="14" width="34" hidden="0" customWidth="1"/>
    <x:col min="15" max="15" width="34" hidden="0" customWidth="1"/>
    <x:col min="16" max="16" width="34" hidden="0" customWidth="1"/>
    <x:col min="17" max="17" width="34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HDR_ci_low</x:v>
      </x:c>
      <x:c r="E1" s="14" t="str">
        <x:v>HDR_ci_high</x:v>
      </x:c>
      <x:c r="F1" s="14" t="str">
        <x:v>ODR_ci_low</x:v>
      </x:c>
      <x:c r="G1" s="14" t="str">
        <x:v>ODR_ci_high</x:v>
      </x:c>
      <x:c r="H1" s="14" t="str">
        <x:v>NetBias_ci_low</x:v>
      </x:c>
      <x:c r="I1" s="14" t="str">
        <x:v>NetBias_ci_high</x:v>
      </x:c>
      <x:c r="J1" s="14" t="str">
        <x:v>HDR_display_valid_ci_low</x:v>
      </x:c>
      <x:c r="K1" s="14" t="str">
        <x:v>HDR_display_valid_ci_high</x:v>
      </x:c>
      <x:c r="L1" s="14" t="str">
        <x:v>ODR_display_valid_ci_low</x:v>
      </x:c>
      <x:c r="M1" s="14" t="str">
        <x:v>ODR_display_valid_ci_high</x:v>
      </x:c>
      <x:c r="N1" s="14" t="str">
        <x:v>HDR_unavailable_component_ci_low</x:v>
      </x:c>
      <x:c r="O1" s="14" t="str">
        <x:v>HDR_unavailable_component_ci_high</x:v>
      </x:c>
      <x:c r="P1" s="14" t="str">
        <x:v>HDR_valid_mismatch_component_ci_low</x:v>
      </x:c>
      <x:c r="Q1" s="14" t="str">
        <x:v>HDR_valid_mismatch_component_ci_high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8" t="n">
        <x:v>0.9598313123991941</x:v>
      </x:c>
      <x:c r="E2" s="18" t="n">
        <x:v>0.9938471912811625</x:v>
      </x:c>
      <x:c r="F2" s="18" t="n">
        <x:v>0.15145723705207045</x:v>
      </x:c>
      <x:c r="G2" s="18" t="n">
        <x:v>0.43708717340093695</x:v>
      </x:c>
      <x:c r="H2" s="18" t="n">
        <x:v>-0.8355458115693705</x:v>
      </x:c>
      <x:c r="I2" s="18" t="n">
        <x:v>-0.5331624136518462</x:v>
      </x:c>
      <x:c r="J2" s="18" t="n">
        <x:v>0.9356473163485736</x:v>
      </x:c>
      <x:c r="K2" s="18" t="n">
        <x:v>0.9902478781914775</x:v>
      </x:c>
      <x:c r="L2" s="18" t="n">
        <x:v>0.23827516715205146</x:v>
      </x:c>
      <x:c r="M2" s="18" t="n">
        <x:v>0.6973111360465274</x:v>
      </x:c>
      <x:c r="N2" s="18" t="n">
        <x:v>0.3060702026123353</x:v>
      </x:c>
      <x:c r="O2" s="18" t="n">
        <x:v>0.42437210016193594</x:v>
      </x:c>
      <x:c r="P2" s="18" t="n">
        <x:v>0.5534929464672249</x:v>
      </x:c>
      <x:c r="Q2" s="18" t="n">
        <x:v>0.6754428830104331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8" t="n">
        <x:v>0.7328191942546626</x:v>
      </x:c>
      <x:c r="E3" s="18" t="n">
        <x:v>0.8593923095957755</x:v>
      </x:c>
      <x:c r="F3" s="18" t="n">
        <x:v>0.1905782403733043</x:v>
      </x:c>
      <x:c r="G3" s="18" t="n">
        <x:v>0.34608747235517423</x:v>
      </x:c>
      <x:c r="H3" s="18" t="n">
        <x:v>-0.644046680011978</x:v>
      </x:c>
      <x:c r="I3" s="18" t="n">
        <x:v>-0.42805826219569704</x:v>
      </x:c>
      <x:c r="J3" s="18" t="n">
        <x:v>0.6032527064241615</x:v>
      </x:c>
      <x:c r="K3" s="18" t="n">
        <x:v>0.7703434616954968</x:v>
      </x:c>
      <x:c r="L3" s="18" t="n">
        <x:v>0.30392277156683656</x:v>
      </x:c>
      <x:c r="M3" s="18" t="n">
        <x:v>0.5431561906364185</x:v>
      </x:c>
      <x:c r="N3" s="18" t="n">
        <x:v>0.303830915281529</x:v>
      </x:c>
      <x:c r="O3" s="18" t="n">
        <x:v>0.42269010359690823</x:v>
      </x:c>
      <x:c r="P3" s="18" t="n">
        <x:v>0.3872289704357833</x:v>
      </x:c>
      <x:c r="Q3" s="18" t="n">
        <x:v>0.4965356815509482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8" t="n">
        <x:v>0.706231287771825</x:v>
      </x:c>
      <x:c r="E4" s="18" t="n">
        <x:v>0.8294698020027315</x:v>
      </x:c>
      <x:c r="F4" s="18" t="n">
        <x:v>0.7308346929285859</x:v>
      </x:c>
      <x:c r="G4" s="18" t="n">
        <x:v>1.121687500725266</x:v>
      </x:c>
      <x:c r="H4" s="18" t="n">
        <x:v>-0.06520697482659087</x:v>
      </x:c>
      <x:c r="I4" s="18" t="n">
        <x:v>0.3483237746216577</x:v>
      </x:c>
      <x:c r="J4" s="18" t="n">
        <x:v>0.5926699811490588</x:v>
      </x:c>
      <x:c r="K4" s="18" t="n">
        <x:v>0.7402035048270993</x:v>
      </x:c>
      <x:c r="L4" s="18" t="n">
        <x:v>1.0460985012386859</x:v>
      </x:c>
      <x:c r="M4" s="18" t="n">
        <x:v>1.6481042160091488</x:v>
      </x:c>
      <x:c r="N4" s="18" t="n">
        <x:v>0.2568308181831534</x:v>
      </x:c>
      <x:c r="O4" s="18" t="n">
        <x:v>0.3633174770750371</x:v>
      </x:c>
      <x:c r="P4" s="18" t="n">
        <x:v>0.41540301737493635</x:v>
      </x:c>
      <x:c r="Q4" s="18" t="n">
        <x:v>0.511633429390407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8" t="n">
        <x:v>0.9391950670813561</x:v>
      </x:c>
      <x:c r="E5" s="18" t="n">
        <x:v>0.9773119254133001</x:v>
      </x:c>
      <x:c r="F5" s="18" t="n">
        <x:v>0.29098387500309025</x:v>
      </x:c>
      <x:c r="G5" s="18" t="n">
        <x:v>0.5752867799290654</x:v>
      </x:c>
      <x:c r="H5" s="18" t="n">
        <x:v>-0.676098864270441</x:v>
      </x:c>
      <x:c r="I5" s="18" t="n">
        <x:v>-0.381026600456867</x:v>
      </x:c>
      <x:c r="J5" s="18" t="n">
        <x:v>0.894173356438841</x:v>
      </x:c>
      <x:c r="K5" s="18" t="n">
        <x:v>0.9600726612920375</x:v>
      </x:c>
      <x:c r="L5" s="18" t="n">
        <x:v>0.5142387486129006</x:v>
      </x:c>
      <x:c r="M5" s="18" t="n">
        <x:v>0.9841489927533458</x:v>
      </x:c>
      <x:c r="N5" s="18" t="n">
        <x:v>0.37278107866757193</x:v>
      </x:c>
      <x:c r="O5" s="18" t="n">
        <x:v>0.47781991445206573</x:v>
      </x:c>
      <x:c r="P5" s="18" t="n">
        <x:v>0.47965709951883395</x:v>
      </x:c>
      <x:c r="Q5" s="18" t="n">
        <x:v>0.5915556431139852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8" t="n">
        <x:v>0.7361635833620722</x:v>
      </x:c>
      <x:c r="E6" s="18" t="n">
        <x:v>0.8318638951915267</x:v>
      </x:c>
      <x:c r="F6" s="18" t="n">
        <x:v>0.19214561624814006</x:v>
      </x:c>
      <x:c r="G6" s="18" t="n">
        <x:v>0.299553082147867</x:v>
      </x:c>
      <x:c r="H6" s="18" t="n">
        <x:v>-0.6226214263370393</x:v>
      </x:c>
      <x:c r="I6" s="18" t="n">
        <x:v>-0.46695763686895986</x:v>
      </x:c>
      <x:c r="J6" s="18" t="n">
        <x:v>0.5651324020414259</x:v>
      </x:c>
      <x:c r="K6" s="18" t="n">
        <x:v>0.6922860833127445</x:v>
      </x:c>
      <x:c r="L6" s="18" t="n">
        <x:v>0.3339638256144841</x:v>
      </x:c>
      <x:c r="M6" s="18" t="n">
        <x:v>0.518592495623615</x:v>
      </x:c>
      <x:c r="N6" s="18" t="n">
        <x:v>0.369887520350172</x:v>
      </x:c>
      <x:c r="O6" s="18" t="n">
        <x:v>0.48012040932850253</x:v>
      </x:c>
      <x:c r="P6" s="18" t="n">
        <x:v>0.32270337291726237</x:v>
      </x:c>
      <x:c r="Q6" s="18" t="n">
        <x:v>0.40714313719459516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8" t="n">
        <x:v>0.648318713764099</x:v>
      </x:c>
      <x:c r="E7" s="18" t="n">
        <x:v>0.7416266907169311</x:v>
      </x:c>
      <x:c r="F7" s="18" t="n">
        <x:v>0.6716054126348792</x:v>
      </x:c>
      <x:c r="G7" s="18" t="n">
        <x:v>0.9228451960787445</x:v>
      </x:c>
      <x:c r="H7" s="18" t="n">
        <x:v>-0.04472276451648275</x:v>
      </x:c>
      <x:c r="I7" s="18" t="n">
        <x:v>0.23668967962301585</x:v>
      </x:c>
      <x:c r="J7" s="18" t="n">
        <x:v>0.5650979822803889</x:v>
      </x:c>
      <x:c r="K7" s="18" t="n">
        <x:v>0.6624144661001243</x:v>
      </x:c>
      <x:c r="L7" s="18" t="n">
        <x:v>0.8452042016694814</x:v>
      </x:c>
      <x:c r="M7" s="18" t="n">
        <x:v>1.1847763650519048</x:v>
      </x:c>
      <x:c r="N7" s="18" t="n">
        <x:v>0.1748863865078547</x:v>
      </x:c>
      <x:c r="O7" s="18" t="n">
        <x:v>0.2538335733920632</x:v>
      </x:c>
      <x:c r="P7" s="18" t="n">
        <x:v>0.44792845566161976</x:v>
      </x:c>
      <x:c r="Q7" s="18" t="n">
        <x:v>0.5200937088035573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8" t="n">
        <x:v>0.9030565312321615</x:v>
      </x:c>
      <x:c r="E8" s="18" t="n">
        <x:v>0.9455808639219617</x:v>
      </x:c>
      <x:c r="F8" s="18" t="n">
        <x:v>0.38754057594761016</x:v>
      </x:c>
      <x:c r="G8" s="18" t="n">
        <x:v>0.6489274688484572</x:v>
      </x:c>
      <x:c r="H8" s="18" t="n">
        <x:v>-0.5434295386102406</x:v>
      </x:c>
      <x:c r="I8" s="18" t="n">
        <x:v>-0.26802684154440115</x:v>
      </x:c>
      <x:c r="J8" s="18" t="n">
        <x:v>0.8169141003379015</x:v>
      </x:c>
      <x:c r="K8" s="18" t="n">
        <x:v>0.8948932836769836</x:v>
      </x:c>
      <x:c r="L8" s="18" t="n">
        <x:v>0.7507243847095773</x:v>
      </x:c>
      <x:c r="M8" s="18" t="n">
        <x:v>1.235360102514267</x:v>
      </x:c>
      <x:c r="N8" s="18" t="n">
        <x:v>0.43402016124598186</x:v>
      </x:c>
      <x:c r="O8" s="18" t="n">
        <x:v>0.5253234592234857</x:v>
      </x:c>
      <x:c r="P8" s="18" t="n">
        <x:v>0.4031883979361985</x:v>
      </x:c>
      <x:c r="Q8" s="18" t="n">
        <x:v>0.4914203601723989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8" t="n">
        <x:v>0.724451851287642</x:v>
      </x:c>
      <x:c r="E9" s="18" t="n">
        <x:v>0.7936833487956597</x:v>
      </x:c>
      <x:c r="F9" s="18" t="n">
        <x:v>0.1796243872629153</x:v>
      </x:c>
      <x:c r="G9" s="18" t="n">
        <x:v>0.24937739808778758</x:v>
      </x:c>
      <x:c r="H9" s="18" t="n">
        <x:v>-0.6040183532640808</x:v>
      </x:c>
      <x:c r="I9" s="18" t="n">
        <x:v>-0.4883584968629663</x:v>
      </x:c>
      <x:c r="J9" s="18" t="n">
        <x:v>0.4949695781889723</x:v>
      </x:c>
      <x:c r="K9" s="18" t="n">
        <x:v>0.5805055843340093</x:v>
      </x:c>
      <x:c r="L9" s="18" t="n">
        <x:v>0.35319845049528703</x:v>
      </x:c>
      <x:c r="M9" s="18" t="n">
        <x:v>0.46844984549917384</x:v>
      </x:c>
      <x:c r="N9" s="18" t="n">
        <x:v>0.43601275067637557</x:v>
      </x:c>
      <x:c r="O9" s="18" t="n">
        <x:v>0.5265673552962308</x:v>
      </x:c>
      <x:c r="P9" s="18" t="n">
        <x:v>0.25093141773822597</x:v>
      </x:c>
      <x:c r="Q9" s="18" t="n">
        <x:v>0.30893179515061675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8" t="n">
        <x:v>0.5475033699862757</x:v>
      </x:c>
      <x:c r="E10" s="18" t="n">
        <x:v>0.6160432794243407</x:v>
      </x:c>
      <x:c r="F10" s="18" t="n">
        <x:v>0.5545734704651923</x:v>
      </x:c>
      <x:c r="G10" s="18" t="n">
        <x:v>0.7141269305420985</x:v>
      </x:c>
      <x:c r="H10" s="18" t="n">
        <x:v>-0.034251832992842644</x:v>
      </x:c>
      <x:c r="I10" s="18" t="n">
        <x:v>0.12591765970770197</x:v>
      </x:c>
      <x:c r="J10" s="18" t="n">
        <x:v>0.4890432940602292</x:v>
      </x:c>
      <x:c r="K10" s="18" t="n">
        <x:v>0.554843134359026</x:v>
      </x:c>
      <x:c r="L10" s="18" t="n">
        <x:v>0.6327817905994606</x:v>
      </x:c>
      <x:c r="M10" s="18" t="n">
        <x:v>0.8223230360718472</x:v>
      </x:c>
      <x:c r="N10" s="18" t="n">
        <x:v>0.10434684813140989</x:v>
      </x:c>
      <x:c r="O10" s="18" t="n">
        <x:v>0.14902767385749707</x:v>
      </x:c>
      <x:c r="P10" s="18" t="n">
        <x:v>0.4297293396656481</x:v>
      </x:c>
      <x:c r="Q10" s="18" t="n">
        <x:v>0.4831609116061436</x:v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20" hidden="0" customWidth="1"/>
    <x:col min="5" max="5" width="21" hidden="0" customWidth="1"/>
    <x:col min="6" max="6" width="20" hidden="0" customWidth="1"/>
    <x:col min="7" max="7" width="23" hidden="0" customWidth="1"/>
    <x:col min="8" max="8" width="34" hidden="0" customWidth="1"/>
    <x:col min="9" max="9" width="32" hidden="0" customWidth="1"/>
    <x:col min="10" max="10" width="30" hidden="0" customWidth="1"/>
    <x:col min="11" max="11" width="21" hidden="0" customWidth="1"/>
    <x:col min="12" max="12" width="22" hidden="0" customWidth="1"/>
    <x:col min="13" max="13" width="22" hidden="0" customWidth="1"/>
    <x:col min="14" max="14" width="27" hidden="0" customWidth="1"/>
    <x:col min="15" max="15" width="30" hidden="0" customWidth="1"/>
    <x:col min="16" max="16" width="21" hidden="0" customWidth="1"/>
    <x:col min="17" max="17" width="21" hidden="0" customWidth="1"/>
    <x:col min="18" max="18" width="30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hidden_auc_display_unavailable_total</x:v>
      </x:c>
      <x:c r="I1" s="14" t="str">
        <x:v>hidden_auc_display_valid_total</x:v>
      </x:c>
      <x:c r="J1" s="14" t="str">
        <x:v>true_auc_display_valid_total</x:v>
      </x:c>
      <x:c r="K1" s="14" t="str">
        <x:v>HDR</x:v>
      </x:c>
      <x:c r="L1" s="14" t="str">
        <x:v>ODR</x:v>
      </x:c>
      <x:c r="M1" s="14" t="str">
        <x:v>NetBias</x:v>
      </x:c>
      <x:c r="N1" s="14" t="str">
        <x:v>HDR_unavailable_component</x:v>
      </x:c>
      <x:c r="O1" s="14" t="str">
        <x:v>HDR_valid_mismatch_component</x:v>
      </x:c>
      <x:c r="P1" s="14" t="str">
        <x:v>HDR_display_valid</x:v>
      </x:c>
      <x:c r="Q1" s="14" t="str">
        <x:v>ODR_display_valid</x:v>
      </x:c>
      <x:c r="R1" s="14" t="str">
        <x:v>display_unavailable_fraction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8" t="n">
        <x:v>10446.666666666666</x:v>
      </x:c>
      <x:c r="E2" s="18" t="n">
        <x:v>3173</x:v>
      </x:c>
      <x:c r="F2" s="18" t="n">
        <x:v>10241.916666666666</x:v>
      </x:c>
      <x:c r="G2" s="18" t="n">
        <x:v>2968.25</x:v>
      </x:c>
      <x:c r="H2" s="18" t="n">
        <x:v>3803</x:v>
      </x:c>
      <x:c r="I2" s="18" t="n">
        <x:v>6438.916666666666</x:v>
      </x:c>
      <x:c r="J2" s="18" t="n">
        <x:v>6643.666666666666</x:v>
      </x:c>
      <x:c r="K2" s="18" t="n">
        <x:v>0.9804004467134653</x:v>
      </x:c>
      <x:c r="L2" s="18" t="n">
        <x:v>0.2841336949585195</x:v>
      </x:c>
      <x:c r="M2" s="18" t="n">
        <x:v>-0.6962667517549458</x:v>
      </x:c>
      <x:c r="N2" s="18" t="n">
        <x:v>0.36403956604977666</x:v>
      </x:c>
      <x:c r="O2" s="18" t="n">
        <x:v>0.6163608806636885</x:v>
      </x:c>
      <x:c r="P2" s="18" t="n">
        <x:v>0.9691811750539361</x:v>
      </x:c>
      <x:c r="Q2" s="18" t="n">
        <x:v>0.44677888716070446</x:v>
      </x:c>
      <x:c r="R2" s="18" t="n">
        <x:v>0.6047823918194288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8" t="n">
        <x:v>10446.666666666666</x:v>
      </x:c>
      <x:c r="E3" s="18" t="n">
        <x:v>4780.605216666663</x:v>
      </x:c>
      <x:c r="F3" s="18" t="n">
        <x:v>8365.414</x:v>
      </x:c>
      <x:c r="G3" s="18" t="n">
        <x:v>2699.3525499999964</x:v>
      </x:c>
      <x:c r="H3" s="18" t="n">
        <x:v>3803</x:v>
      </x:c>
      <x:c r="I3" s="18" t="n">
        <x:v>4562.414</x:v>
      </x:c>
      <x:c r="J3" s="18" t="n">
        <x:v>6643.666666666666</x:v>
      </x:c>
      <x:c r="K3" s="18" t="n">
        <x:v>0.8007735162731335</x:v>
      </x:c>
      <x:c r="L3" s="18" t="n">
        <x:v>0.25839367102744065</x:v>
      </x:c>
      <x:c r="M3" s="18" t="n">
        <x:v>-0.5423798452456927</x:v>
      </x:c>
      <x:c r="N3" s="18" t="n">
        <x:v>0.36403956604977666</x:v>
      </x:c>
      <x:c r="O3" s="18" t="n">
        <x:v>0.43673395022335676</x:v>
      </x:c>
      <x:c r="P3" s="18" t="n">
        <x:v>0.6867313230645729</x:v>
      </x:c>
      <x:c r="Q3" s="18" t="n">
        <x:v>0.40630463348552454</x:v>
      </x:c>
      <x:c r="R3" s="18" t="n">
        <x:v>0.6047823918194288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8" t="n">
        <x:v>10446.666666666666</x:v>
      </x:c>
      <x:c r="E4" s="18" t="n">
        <x:v>11874.333333333332</x:v>
      </x:c>
      <x:c r="F4" s="18" t="n">
        <x:v>8066.083333333333</x:v>
      </x:c>
      <x:c r="G4" s="18" t="n">
        <x:v>9493.75</x:v>
      </x:c>
      <x:c r="H4" s="18" t="n">
        <x:v>3216.083333333333</x:v>
      </x:c>
      <x:c r="I4" s="18" t="n">
        <x:v>4850</x:v>
      </x:c>
      <x:c r="J4" s="18" t="n">
        <x:v>7230.583333333334</x:v>
      </x:c>
      <x:c r="K4" s="18" t="n">
        <x:v>0.7721202935545629</x:v>
      </x:c>
      <x:c r="L4" s="18" t="n">
        <x:v>0.908782705807275</x:v>
      </x:c>
      <x:c r="M4" s="18" t="n">
        <x:v>0.13666241225271214</x:v>
      </x:c>
      <x:c r="N4" s="18" t="n">
        <x:v>0.3078573707721761</x:v>
      </x:c>
      <x:c r="O4" s="18" t="n">
        <x:v>0.46426292278238673</x:v>
      </x:c>
      <x:c r="P4" s="18" t="n">
        <x:v>0.670761925616882</x:v>
      </x:c>
      <x:c r="Q4" s="18" t="n">
        <x:v>1.3129991817165512</x:v>
      </x:c>
      <x:c r="R4" s="18" t="n">
        <x:v>0.011294010059442158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8" t="n">
        <x:v>19401.25</x:v>
      </x:c>
      <x:c r="E5" s="18" t="n">
        <x:v>8943.333333333332</x:v>
      </x:c>
      <x:c r="F5" s="18" t="n">
        <x:v>18642.916666666668</x:v>
      </x:c>
      <x:c r="G5" s="18" t="n">
        <x:v>8185</x:v>
      </x:c>
      <x:c r="H5" s="18" t="n">
        <x:v>8262.333333333334</x:v>
      </x:c>
      <x:c r="I5" s="18" t="n">
        <x:v>10380.583333333334</x:v>
      </x:c>
      <x:c r="J5" s="18" t="n">
        <x:v>11138.916666666668</x:v>
      </x:c>
      <x:c r="K5" s="18" t="n">
        <x:v>0.9609131714021864</x:v>
      </x:c>
      <x:c r="L5" s="18" t="n">
        <x:v>0.42188003350299597</x:v>
      </x:c>
      <x:c r="M5" s="18" t="n">
        <x:v>-0.5390331378991904</x:v>
      </x:c>
      <x:c r="N5" s="18" t="n">
        <x:v>0.425866030968795</x:v>
      </x:c>
      <x:c r="O5" s="18" t="n">
        <x:v>0.5350471404333913</x:v>
      </x:c>
      <x:c r="P5" s="18" t="n">
        <x:v>0.9319203692758871</x:v>
      </x:c>
      <x:c r="Q5" s="18" t="n">
        <x:v>0.7348111351343263</x:v>
      </x:c>
      <x:c r="R5" s="18" t="n">
        <x:v>0.6047823918194288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8" t="n">
        <x:v>19401.25</x:v>
      </x:c>
      <x:c r="E6" s="18" t="n">
        <x:v>8763.48356666666</x:v>
      </x:c>
      <x:c r="F6" s="18" t="n">
        <x:v>15274.9817</x:v>
      </x:c>
      <x:c r="G6" s="18" t="n">
        <x:v>4637.215266666659</x:v>
      </x:c>
      <x:c r="H6" s="18" t="n">
        <x:v>8262.333333333334</x:v>
      </x:c>
      <x:c r="I6" s="18" t="n">
        <x:v>7012.648366666666</x:v>
      </x:c>
      <x:c r="J6" s="18" t="n">
        <x:v>11138.916666666668</x:v>
      </x:c>
      <x:c r="K6" s="18" t="n">
        <x:v>0.7873194613749114</x:v>
      </x:c>
      <x:c r="L6" s="18" t="n">
        <x:v>0.2390163142409205</x:v>
      </x:c>
      <x:c r="M6" s="18" t="n">
        <x:v>-0.5483031471339909</x:v>
      </x:c>
      <x:c r="N6" s="18" t="n">
        <x:v>0.425866030968795</x:v>
      </x:c>
      <x:c r="O6" s="18" t="n">
        <x:v>0.36145343040611644</x:v>
      </x:c>
      <x:c r="P6" s="18" t="n">
        <x:v>0.6295628719130375</x:v>
      </x:c>
      <x:c r="Q6" s="18" t="n">
        <x:v>0.41630756432028776</x:v>
      </x:c>
      <x:c r="R6" s="18" t="n">
        <x:v>0.6047823918194288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8" t="n">
        <x:v>19401.25</x:v>
      </x:c>
      <x:c r="E7" s="18" t="n">
        <x:v>21193.166666666664</x:v>
      </x:c>
      <x:c r="F7" s="18" t="n">
        <x:v>13506.083333333332</x:v>
      </x:c>
      <x:c r="G7" s="18" t="n">
        <x:v>15298</x:v>
      </x:c>
      <x:c r="H7" s="18" t="n">
        <x:v>4103.75</x:v>
      </x:c>
      <x:c r="I7" s="18" t="n">
        <x:v>9402.333333333332</x:v>
      </x:c>
      <x:c r="J7" s="18" t="n">
        <x:v>15297.499999999998</x:v>
      </x:c>
      <x:c r="K7" s="18" t="n">
        <x:v>0.6961450078388419</x:v>
      </x:c>
      <x:c r="L7" s="18" t="n">
        <x:v>0.7885058952387088</x:v>
      </x:c>
      <x:c r="M7" s="18" t="n">
        <x:v>0.09236088739986673</x:v>
      </x:c>
      <x:c r="N7" s="18" t="n">
        <x:v>0.21151987629663038</x:v>
      </x:c>
      <x:c r="O7" s="18" t="n">
        <x:v>0.48462513154221154</x:v>
      </x:c>
      <x:c r="P7" s="18" t="n">
        <x:v>0.6146320204826496</x:v>
      </x:c>
      <x:c r="Q7" s="18" t="n">
        <x:v>1.0000326850792614</x:v>
      </x:c>
      <x:c r="R7" s="18" t="n">
        <x:v>0.011294010059442158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8" t="n">
        <x:v>41564.58333333333</x:v>
      </x:c>
      <x:c r="E8" s="18" t="n">
        <x:v>23991.833333333336</x:v>
      </x:c>
      <x:c r="F8" s="18" t="n">
        <x:v>38486.75</x:v>
      </x:c>
      <x:c r="G8" s="18" t="n">
        <x:v>20914</x:v>
      </x:c>
      <x:c r="H8" s="18" t="n">
        <x:v>20011.916666666664</x:v>
      </x:c>
      <x:c r="I8" s="18" t="n">
        <x:v>18474.833333333336</x:v>
      </x:c>
      <x:c r="J8" s="18" t="n">
        <x:v>21552.666666666664</x:v>
      </x:c>
      <x:c r="K8" s="18" t="n">
        <x:v>0.9259505789183501</x:v>
      </x:c>
      <x:c r="L8" s="18" t="n">
        <x:v>0.5031687634705028</x:v>
      </x:c>
      <x:c r="M8" s="18" t="n">
        <x:v>-0.4227818154478471</x:v>
      </x:c>
      <x:c r="N8" s="18" t="n">
        <x:v>0.4814655906972082</x:v>
      </x:c>
      <x:c r="O8" s="18" t="n">
        <x:v>0.4444849882211419</x:v>
      </x:c>
      <x:c r="P8" s="18" t="n">
        <x:v>0.8571947786816791</x:v>
      </x:c>
      <x:c r="Q8" s="18" t="n">
        <x:v>0.970367162609422</x:v>
      </x:c>
      <x:c r="R8" s="18" t="n">
        <x:v>0.6047823918194288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8" t="n">
        <x:v>41564.58333333333</x:v>
      </x:c>
      <x:c r="E9" s="18" t="n">
        <x:v>18772.83174999999</x:v>
      </x:c>
      <x:c r="F9" s="18" t="n">
        <x:v>31575.39335</x:v>
      </x:c>
      <x:c r="G9" s="18" t="n">
        <x:v>8783.641766666657</x:v>
      </x:c>
      <x:c r="H9" s="18" t="n">
        <x:v>20011.916666666664</x:v>
      </x:c>
      <x:c r="I9" s="18" t="n">
        <x:v>11563.47668333333</x:v>
      </x:c>
      <x:c r="J9" s="18" t="n">
        <x:v>21552.666666666664</x:v>
      </x:c>
      <x:c r="K9" s="18" t="n">
        <x:v>0.7596706334519574</x:v>
      </x:c>
      <x:c r="L9" s="18" t="n">
        <x:v>0.21132514901508676</x:v>
      </x:c>
      <x:c r="M9" s="18" t="n">
        <x:v>-0.5483454844368705</x:v>
      </x:c>
      <x:c r="N9" s="18" t="n">
        <x:v>0.4814655906972082</x:v>
      </x:c>
      <x:c r="O9" s="18" t="n">
        <x:v>0.2782050427547491</x:v>
      </x:c>
      <x:c r="P9" s="18" t="n">
        <x:v>0.5365218542175755</x:v>
      </x:c>
      <x:c r="Q9" s="18" t="n">
        <x:v>0.4075431547526984</x:v>
      </x:c>
      <x:c r="R9" s="18" t="n">
        <x:v>0.6047823918194288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8" t="n">
        <x:v>41564.58333333333</x:v>
      </x:c>
      <x:c r="E10" s="18" t="n">
        <x:v>43529.666666666664</x:v>
      </x:c>
      <x:c r="F10" s="18" t="n">
        <x:v>24171.5</x:v>
      </x:c>
      <x:c r="G10" s="18" t="n">
        <x:v>26136.583333333332</x:v>
      </x:c>
      <x:c r="H10" s="18" t="n">
        <x:v>5226.166666666666</x:v>
      </x:c>
      <x:c r="I10" s="18" t="n">
        <x:v>18945.333333333332</x:v>
      </x:c>
      <x:c r="J10" s="18" t="n">
        <x:v>36338.416666666664</x:v>
      </x:c>
      <x:c r="K10" s="18" t="n">
        <x:v>0.5815407748985014</x:v>
      </x:c>
      <x:c r="L10" s="18" t="n">
        <x:v>0.6288186055836801</x:v>
      </x:c>
      <x:c r="M10" s="18" t="n">
        <x:v>0.047277830685178754</x:v>
      </x:c>
      <x:c r="N10" s="18" t="n">
        <x:v>0.12573605333066012</x:v>
      </x:c>
      <x:c r="O10" s="18" t="n">
        <x:v>0.45580472156784124</x:v>
      </x:c>
      <x:c r="P10" s="18" t="n">
        <x:v>0.5213582503365355</x:v>
      </x:c>
      <x:c r="Q10" s="18" t="n">
        <x:v>0.719254874891357</x:v>
      </x:c>
      <x:c r="R10" s="18" t="n">
        <x:v>0.011294010059442158</x:v>
      </x:c>
    </x:row>
    <x:row r="11">
      <x:c r="A11" s="16" t="n">
        <x:v>55</x:v>
      </x:c>
      <x:c r="B11" s="8" t="str">
        <x:v>cuff_level_increment_actual_minus_timing</x:v>
      </x:c>
      <x:c r="C11" s="16" t="n">
        <x:v>365</x:v>
      </x:c>
      <x:c r="D11" s="18" t="n">
        <x:v>10446.666666666666</x:v>
      </x:c>
      <x:c r="E11" s="18" t="n">
        <x:v>-1607.6052166666632</x:v>
      </x:c>
      <x:c r="F11" s="18" t="n">
        <x:v>1876.5026666666654</x:v>
      </x:c>
      <x:c r="G11" s="18" t="n">
        <x:v>268.8974500000036</x:v>
      </x:c>
      <x:c r="H11" s="18" t="n">
        <x:v>0</x:v>
      </x:c>
      <x:c r="I11" s="18" t="n">
        <x:v>1876.5026666666663</x:v>
      </x:c>
      <x:c r="J11" s="18" t="n">
        <x:v>0</x:v>
      </x:c>
      <x:c r="K11" s="18" t="n">
        <x:v>0.17962693044033173</x:v>
      </x:c>
      <x:c r="L11" s="18" t="n">
        <x:v>0.025740023931078826</x:v>
      </x:c>
      <x:c r="M11" s="18" t="n">
        <x:v>-0.15388690650925307</x:v>
      </x:c>
      <x:c r="N11" s="18" t="n">
        <x:v>0</x:v>
      </x:c>
      <x:c r="O11" s="18" t="n">
        <x:v>0.1796269304403318</x:v>
      </x:c>
      <x:c r="P11" s="18" t="n">
        <x:v>0.28244985198936323</x:v>
      </x:c>
      <x:c r="Q11" s="18" t="n">
        <x:v>0.04047425367517993</x:v>
      </x:c>
      <x:c r="R11" s="18" t="n">
        <x:v>0</x:v>
      </x:c>
    </x:row>
    <x:row r="12">
      <x:c r="A12" s="16" t="n">
        <x:v>60</x:v>
      </x:c>
      <x:c r="B12" s="8" t="str">
        <x:v>cuff_level_increment_actual_minus_timing</x:v>
      </x:c>
      <x:c r="C12" s="16" t="n">
        <x:v>365</x:v>
      </x:c>
      <x:c r="D12" s="18" t="n">
        <x:v>19401.25</x:v>
      </x:c>
      <x:c r="E12" s="18" t="n">
        <x:v>179.8497666666717</x:v>
      </x:c>
      <x:c r="F12" s="18" t="n">
        <x:v>3367.9349666666676</x:v>
      </x:c>
      <x:c r="G12" s="18" t="n">
        <x:v>3547.784733333341</x:v>
      </x:c>
      <x:c r="H12" s="18" t="n">
        <x:v>0</x:v>
      </x:c>
      <x:c r="I12" s="18" t="n">
        <x:v>3367.9349666666676</x:v>
      </x:c>
      <x:c r="J12" s="18" t="n">
        <x:v>0</x:v>
      </x:c>
      <x:c r="K12" s="18" t="n">
        <x:v>0.17359371002727497</x:v>
      </x:c>
      <x:c r="L12" s="18" t="n">
        <x:v>0.18286371926207545</x:v>
      </x:c>
      <x:c r="M12" s="18" t="n">
        <x:v>0.00927000923480048</x:v>
      </x:c>
      <x:c r="N12" s="18" t="n">
        <x:v>0</x:v>
      </x:c>
      <x:c r="O12" s="18" t="n">
        <x:v>0.17359371002727486</x:v>
      </x:c>
      <x:c r="P12" s="18" t="n">
        <x:v>0.30235749736284956</x:v>
      </x:c>
      <x:c r="Q12" s="18" t="n">
        <x:v>0.3185035708140385</x:v>
      </x:c>
      <x:c r="R12" s="18" t="n">
        <x:v>0</x:v>
      </x:c>
    </x:row>
    <x:row r="13">
      <x:c r="A13" s="16" t="n">
        <x:v>65</x:v>
      </x:c>
      <x:c r="B13" s="8" t="str">
        <x:v>cuff_level_increment_actual_minus_timing</x:v>
      </x:c>
      <x:c r="C13" s="16" t="n">
        <x:v>365</x:v>
      </x:c>
      <x:c r="D13" s="18" t="n">
        <x:v>41564.58333333333</x:v>
      </x:c>
      <x:c r="E13" s="18" t="n">
        <x:v>5219.0015833333455</x:v>
      </x:c>
      <x:c r="F13" s="18" t="n">
        <x:v>6911.3566500000015</x:v>
      </x:c>
      <x:c r="G13" s="18" t="n">
        <x:v>12130.358233333343</x:v>
      </x:c>
      <x:c r="H13" s="18" t="n">
        <x:v>0</x:v>
      </x:c>
      <x:c r="I13" s="18" t="n">
        <x:v>6911.356650000005</x:v>
      </x:c>
      <x:c r="J13" s="18" t="n">
        <x:v>0</x:v>
      </x:c>
      <x:c r="K13" s="18" t="n">
        <x:v>0.1662799454663927</x:v>
      </x:c>
      <x:c r="L13" s="18" t="n">
        <x:v>0.291843614455416</x:v>
      </x:c>
      <x:c r="M13" s="18" t="n">
        <x:v>0.12556366898902338</x:v>
      </x:c>
      <x:c r="N13" s="18" t="n">
        <x:v>0</x:v>
      </x:c>
      <x:c r="O13" s="18" t="n">
        <x:v>0.1662799454663928</x:v>
      </x:c>
      <x:c r="P13" s="18" t="n">
        <x:v>0.32067292446410367</x:v>
      </x:c>
      <x:c r="Q13" s="18" t="n">
        <x:v>0.5628240078567236</x:v>
      </x:c>
      <x:c r="R13" s="18" t="n">
        <x:v>0</x:v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</x:cols>
  <x:sheetData>
    <x:row r="1" ht="32" customHeight="1">
      <x:c r="A1" s="14" t="str">
        <x:v>statistic</x:v>
      </x:c>
      <x:c r="B1" s="14" t="str">
        <x:v>paired_events_per_case</x:v>
      </x:c>
    </x:row>
    <x:row r="2">
      <x:c r="A2" s="8" t="str">
        <x:v>count</x:v>
      </x:c>
      <x:c r="B2" s="18" t="n">
        <x:v>347</x:v>
      </x:c>
    </x:row>
    <x:row r="3">
      <x:c r="A3" s="8" t="str">
        <x:v>mean</x:v>
      </x:c>
      <x:c r="B3" s="18" t="n">
        <x:v>31.340057636887607</x:v>
      </x:c>
    </x:row>
    <x:row r="4">
      <x:c r="A4" s="8" t="str">
        <x:v>std</x:v>
      </x:c>
      <x:c r="B4" s="18" t="n">
        <x:v>19.427043988907766</x:v>
      </x:c>
    </x:row>
    <x:row r="5">
      <x:c r="A5" s="8" t="str">
        <x:v>min</x:v>
      </x:c>
      <x:c r="B5" s="18" t="n">
        <x:v>1</x:v>
      </x:c>
    </x:row>
    <x:row r="6">
      <x:c r="A6" s="8" t="str">
        <x:v>25%</x:v>
      </x:c>
      <x:c r="B6" s="18" t="n">
        <x:v>17</x:v>
      </x:c>
    </x:row>
    <x:row r="7">
      <x:c r="A7" s="8" t="str">
        <x:v>50%</x:v>
      </x:c>
      <x:c r="B7" s="18" t="n">
        <x:v>29</x:v>
      </x:c>
    </x:row>
    <x:row r="8">
      <x:c r="A8" s="8" t="str">
        <x:v>75%</x:v>
      </x:c>
      <x:c r="B8" s="18" t="n">
        <x:v>41</x:v>
      </x:c>
    </x:row>
    <x:row r="9">
      <x:c r="A9" s="8" t="str">
        <x:v>max</x:v>
      </x:c>
      <x:c r="B9" s="18" t="n">
        <x:v>120</x:v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5" hidden="0" customWidth="1"/>
    <x:col min="3" max="3" width="15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21" hidden="0" customWidth="1"/>
    <x:col min="13" max="13" width="22" hidden="0" customWidth="1"/>
    <x:col min="14" max="14" width="21" hidden="0" customWidth="1"/>
    <x:col min="15" max="15" width="20" hidden="0" customWidth="1"/>
    <x:col min="16" max="16" width="20" hidden="0" customWidth="1"/>
    <x:col min="17" max="17" width="21" hidden="0" customWidth="1"/>
    <x:col min="18" max="18" width="34" hidden="0" customWidth="1"/>
  </x:cols>
  <x:sheetData>
    <x:row r="1" ht="32" customHeight="1">
      <x:c r="A1" s="14" t="str">
        <x:v>threshold</x:v>
      </x:c>
      <x:c r="B1" s="14" t="str">
        <x:v>paired_events</x:v>
      </x:c>
      <x:c r="C1" s="14" t="str">
        <x:v>case_clusters</x:v>
      </x:c>
      <x:c r="D1" s="14" t="str">
        <x:v>tp</x:v>
      </x:c>
      <x:c r="E1" s="14" t="str">
        <x:v>fn</x:v>
      </x:c>
      <x:c r="F1" s="14" t="str">
        <x:v>tn</x:v>
      </x:c>
      <x:c r="G1" s="14" t="str">
        <x:v>fp</x:v>
      </x:c>
      <x:c r="H1" s="14" t="str">
        <x:v>cases_with_tp</x:v>
      </x:c>
      <x:c r="I1" s="14" t="str">
        <x:v>cases_with_fn</x:v>
      </x:c>
      <x:c r="J1" s="14" t="str">
        <x:v>cases_with_tn</x:v>
      </x:c>
      <x:c r="K1" s="14" t="str">
        <x:v>cases_with_fp</x:v>
      </x:c>
      <x:c r="L1" s="14" t="str">
        <x:v>sensitivity</x:v>
      </x:c>
      <x:c r="M1" s="14" t="str">
        <x:v>sensitivity_ci_low</x:v>
      </x:c>
      <x:c r="N1" s="14" t="str">
        <x:v>sensitivity_ci_high</x:v>
      </x:c>
      <x:c r="O1" s="14" t="str">
        <x:v>specificity</x:v>
      </x:c>
      <x:c r="P1" s="14" t="str">
        <x:v>specificity_ci_low</x:v>
      </x:c>
      <x:c r="Q1" s="14" t="str">
        <x:v>specificity_ci_high</x:v>
      </x:c>
      <x:c r="R1" s="14" t="str">
        <x:v>ci_method</x:v>
      </x:c>
    </x:row>
    <x:row r="2">
      <x:c r="A2" s="16" t="n">
        <x:v>55</x:v>
      </x:c>
      <x:c r="B2" s="16" t="n">
        <x:v>10875</x:v>
      </x:c>
      <x:c r="C2" s="16" t="n">
        <x:v>347</x:v>
      </x:c>
      <x:c r="D2" s="16" t="n">
        <x:v>20</x:v>
      </x:c>
      <x:c r="E2" s="16" t="n">
        <x:v>142</x:v>
      </x:c>
      <x:c r="F2" s="16" t="n">
        <x:v>10542</x:v>
      </x:c>
      <x:c r="G2" s="16" t="n">
        <x:v>171</x:v>
      </x:c>
      <x:c r="H2" s="16" t="n">
        <x:v>12</x:v>
      </x:c>
      <x:c r="I2" s="16" t="n">
        <x:v>74</x:v>
      </x:c>
      <x:c r="J2" s="16" t="n">
        <x:v>345</x:v>
      </x:c>
      <x:c r="K2" s="16" t="n">
        <x:v>29</x:v>
      </x:c>
      <x:c r="L2" s="18" t="n">
        <x:v>0.12345679012345678</x:v>
      </x:c>
      <x:c r="M2" s="18" t="n">
        <x:v>0.055891994478951004</x:v>
      </x:c>
      <x:c r="N2" s="18" t="n">
        <x:v>0.20569858156028364</x:v>
      </x:c>
      <x:c r="O2" s="18" t="n">
        <x:v>0.9840380845701484</x:v>
      </x:c>
      <x:c r="P2" s="18" t="n">
        <x:v>0.9760545227757396</x:v>
      </x:c>
      <x:c r="Q2" s="18" t="n">
        <x:v>0.9906511190001156</x:v>
      </x:c>
      <x:c r="R2" s="8" t="str">
        <x:v>case-cluster non-parametric bootstrap</x:v>
      </x:c>
    </x:row>
    <x:row r="3">
      <x:c r="A3" s="16" t="n">
        <x:v>60</x:v>
      </x:c>
      <x:c r="B3" s="16" t="n">
        <x:v>10875</x:v>
      </x:c>
      <x:c r="C3" s="16" t="n">
        <x:v>347</x:v>
      </x:c>
      <x:c r="D3" s="16" t="n">
        <x:v>80</x:v>
      </x:c>
      <x:c r="E3" s="16" t="n">
        <x:v>317</x:v>
      </x:c>
      <x:c r="F3" s="16" t="n">
        <x:v>9949</x:v>
      </x:c>
      <x:c r="G3" s="16" t="n">
        <x:v>529</x:v>
      </x:c>
      <x:c r="H3" s="16" t="n">
        <x:v>31</x:v>
      </x:c>
      <x:c r="I3" s="16" t="n">
        <x:v>132</x:v>
      </x:c>
      <x:c r="J3" s="16" t="n">
        <x:v>343</x:v>
      </x:c>
      <x:c r="K3" s="16" t="n">
        <x:v>75</x:v>
      </x:c>
      <x:c r="L3" s="18" t="n">
        <x:v>0.20151133501259447</x:v>
      </x:c>
      <x:c r="M3" s="18" t="n">
        <x:v>0.12462440523666767</x:v>
      </x:c>
      <x:c r="N3" s="18" t="n">
        <x:v>0.2792198298777246</x:v>
      </x:c>
      <x:c r="O3" s="18" t="n">
        <x:v>0.949513265890437</x:v>
      </x:c>
      <x:c r="P3" s="18" t="n">
        <x:v>0.9351470949284441</x:v>
      </x:c>
      <x:c r="Q3" s="18" t="n">
        <x:v>0.9626746579625491</x:v>
      </x:c>
      <x:c r="R3" s="8" t="str">
        <x:v>case-cluster non-parametric bootstrap</x:v>
      </x:c>
    </x:row>
    <x:row r="4">
      <x:c r="A4" s="16" t="n">
        <x:v>65</x:v>
      </x:c>
      <x:c r="B4" s="16" t="n">
        <x:v>10875</x:v>
      </x:c>
      <x:c r="C4" s="16" t="n">
        <x:v>347</x:v>
      </x:c>
      <x:c r="D4" s="16" t="n">
        <x:v>300</x:v>
      </x:c>
      <x:c r="E4" s="16" t="n">
        <x:v>698</x:v>
      </x:c>
      <x:c r="F4" s="16" t="n">
        <x:v>8866</x:v>
      </x:c>
      <x:c r="G4" s="16" t="n">
        <x:v>1011</x:v>
      </x:c>
      <x:c r="H4" s="16" t="n">
        <x:v>94</x:v>
      </x:c>
      <x:c r="I4" s="16" t="n">
        <x:v>187</x:v>
      </x:c>
      <x:c r="J4" s="16" t="n">
        <x:v>339</x:v>
      </x:c>
      <x:c r="K4" s="16" t="n">
        <x:v>123</x:v>
      </x:c>
      <x:c r="L4" s="18" t="n">
        <x:v>0.30060120240480964</x:v>
      </x:c>
      <x:c r="M4" s="18" t="n">
        <x:v>0.241901741125658</x:v>
      </x:c>
      <x:c r="N4" s="18" t="n">
        <x:v>0.354884304851304</x:v>
      </x:c>
      <x:c r="O4" s="18" t="n">
        <x:v>0.8976409841044851</x:v>
      </x:c>
      <x:c r="P4" s="18" t="n">
        <x:v>0.8766900370114044</x:v>
      </x:c>
      <x:c r="Q4" s="18" t="n">
        <x:v>0.9189001696793594</x:v>
      </x:c>
      <x:c r="R4" s="8" t="str">
        <x:v>case-cluster non-parametric bootstrap</x:v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3" hidden="0" customWidth="1"/>
    <x:col min="3" max="3" width="15" hidden="0" customWidth="1"/>
    <x:col min="4" max="4" width="10" hidden="0" customWidth="1"/>
    <x:col min="5" max="5" width="21" hidden="0" customWidth="1"/>
    <x:col min="6" max="6" width="20" hidden="0" customWidth="1"/>
    <x:col min="7" max="7" width="18" hidden="0" customWidth="1"/>
    <x:col min="8" max="8" width="21" hidden="0" customWidth="1"/>
    <x:col min="9" max="9" width="22" hidden="0" customWidth="1"/>
    <x:col min="10" max="10" width="34" hidden="0" customWidth="1"/>
  </x:cols>
  <x:sheetData>
    <x:row r="1" ht="32" customHeight="1">
      <x:c r="A1" s="14" t="str">
        <x:v>paired_mean_map_stratum</x:v>
      </x:c>
      <x:c r="B1" s="14" t="str">
        <x:v>conditioning_variable</x:v>
      </x:c>
      <x:c r="C1" s="14" t="str">
        <x:v>paired_events</x:v>
      </x:c>
      <x:c r="D1" s="14" t="str">
        <x:v>cases</x:v>
      </x:c>
      <x:c r="E1" s="14" t="str">
        <x:v>mean_bias</x:v>
      </x:c>
      <x:c r="F1" s="14" t="str">
        <x:v>sd_bias</x:v>
      </x:c>
      <x:c r="G1" s="14" t="str">
        <x:v>median_abs_error</x:v>
      </x:c>
      <x:c r="H1" s="14" t="str">
        <x:v>mean_bias_ci_low</x:v>
      </x:c>
      <x:c r="I1" s="14" t="str">
        <x:v>mean_bias_ci_high</x:v>
      </x:c>
      <x:c r="J1" s="14" t="str">
        <x:v>interpretation</x:v>
      </x:c>
    </x:row>
    <x:row r="2">
      <x:c r="A2" s="8" t="str">
        <x:v>&lt;55</x:v>
      </x:c>
      <x:c r="B2" s="8" t="str">
        <x:v>paired_mean_map</x:v>
      </x:c>
      <x:c r="C2" s="16" t="n">
        <x:v>63</x:v>
      </x:c>
      <x:c r="D2" s="16" t="n">
        <x:v>39</x:v>
      </x:c>
      <x:c r="E2" s="18" t="n">
        <x:v>5.313492063492063</x:v>
      </x:c>
      <x:c r="F2" s="18" t="n">
        <x:v>24.6957685521832</x:v>
      </x:c>
      <x:c r="G2" s="18" t="n">
        <x:v>12</x:v>
      </x:c>
      <x:c r="H2" s="18" t="n">
        <x:v>-2.9069808467741933</x:v>
      </x:c>
      <x:c r="I2" s="18" t="n">
        <x:v>14.44033474576271</x:v>
      </x:c>
      <x:c r="J2" s="8" t="str">
        <x:v>conditional paired difference; not calibration bias</x:v>
      </x:c>
    </x:row>
    <x:row r="3">
      <x:c r="A3" s="8" t="str">
        <x:v>55-60</x:v>
      </x:c>
      <x:c r="B3" s="8" t="str">
        <x:v>paired_mean_map</x:v>
      </x:c>
      <x:c r="C3" s="16" t="n">
        <x:v>183</x:v>
      </x:c>
      <x:c r="D3" s="16" t="n">
        <x:v>70</x:v>
      </x:c>
      <x:c r="E3" s="18" t="n">
        <x:v>-2.0491803278688523</x:v>
      </x:c>
      <x:c r="F3" s="18" t="n">
        <x:v>15.637647826454792</x:v>
      </x:c>
      <x:c r="G3" s="18" t="n">
        <x:v>9</x:v>
      </x:c>
      <x:c r="H3" s="18" t="n">
        <x:v>-5.553559787439996</x:v>
      </x:c>
      <x:c r="I3" s="18" t="n">
        <x:v>1.6441880118072747</x:v>
      </x:c>
      <x:c r="J3" s="8" t="str">
        <x:v>conditional paired difference; not calibration bias</x:v>
      </x:c>
    </x:row>
    <x:row r="4">
      <x:c r="A4" s="8" t="str">
        <x:v>60-65</x:v>
      </x:c>
      <x:c r="B4" s="8" t="str">
        <x:v>paired_mean_map</x:v>
      </x:c>
      <x:c r="C4" s="16" t="n">
        <x:v>521</x:v>
      </x:c>
      <x:c r="D4" s="16" t="n">
        <x:v>135</x:v>
      </x:c>
      <x:c r="E4" s="18" t="n">
        <x:v>-2.345489443378119</x:v>
      </x:c>
      <x:c r="F4" s="18" t="n">
        <x:v>13.786459487217043</x:v>
      </x:c>
      <x:c r="G4" s="18" t="n">
        <x:v>8</x:v>
      </x:c>
      <x:c r="H4" s="18" t="n">
        <x:v>-4.35177489473704</x:v>
      </x:c>
      <x:c r="I4" s="18" t="n">
        <x:v>-0.09408024324007197</x:v>
      </x:c>
      <x:c r="J4" s="8" t="str">
        <x:v>conditional paired difference; not calibration bias</x:v>
      </x:c>
    </x:row>
    <x:row r="5">
      <x:c r="A5" s="8" t="str">
        <x:v>65-75</x:v>
      </x:c>
      <x:c r="B5" s="8" t="str">
        <x:v>paired_mean_map</x:v>
      </x:c>
      <x:c r="C5" s="16" t="n">
        <x:v>2501</x:v>
      </x:c>
      <x:c r="D5" s="16" t="n">
        <x:v>262</x:v>
      </x:c>
      <x:c r="E5" s="18" t="n">
        <x:v>-1.9704118352658937</x:v>
      </x:c>
      <x:c r="F5" s="18" t="n">
        <x:v>13.441051826041141</x:v>
      </x:c>
      <x:c r="G5" s="18" t="n">
        <x:v>8</x:v>
      </x:c>
      <x:c r="H5" s="18" t="n">
        <x:v>-3.3042751143069804</x:v>
      </x:c>
      <x:c r="I5" s="18" t="n">
        <x:v>-0.6426541765192016</x:v>
      </x:c>
      <x:c r="J5" s="8" t="str">
        <x:v>conditional paired difference; not calibration bias</x:v>
      </x:c>
    </x:row>
    <x:row r="6">
      <x:c r="A6" s="8" t="str">
        <x:v>&gt;=75</x:v>
      </x:c>
      <x:c r="B6" s="8" t="str">
        <x:v>paired_mean_map</x:v>
      </x:c>
      <x:c r="C6" s="16" t="n">
        <x:v>7607</x:v>
      </x:c>
      <x:c r="D6" s="16" t="n">
        <x:v>340</x:v>
      </x:c>
      <x:c r="E6" s="18" t="n">
        <x:v>0.9509004863941107</x:v>
      </x:c>
      <x:c r="F6" s="18" t="n">
        <x:v>18.553160968587814</x:v>
      </x:c>
      <x:c r="G6" s="18" t="n">
        <x:v>9.5</x:v>
      </x:c>
      <x:c r="H6" s="18" t="n">
        <x:v>-0.2655912216142681</x:v>
      </x:c>
      <x:c r="I6" s="18" t="n">
        <x:v>2.1755707141342775</x:v>
      </x:c>
      <x:c r="J6" s="8" t="str">
        <x:v>conditional paired difference; not calibration bias</x:v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0" hidden="0" customWidth="1"/>
  </x:cols>
  <x:sheetData>
    <x:row r="1" ht="32" customHeight="1">
      <x:c r="A1" s="14" t="str">
        <x:v>failure_reason</x:v>
      </x:c>
      <x:c r="B1" s="14" t="str">
        <x:v>events</x:v>
      </x:c>
      <x:c r="C1" s="14" t="str">
        <x:v>cases</x:v>
      </x:c>
    </x:row>
    <x:row r="2">
      <x:c r="A2" s="8" t="str">
        <x:v>insufficient_art_window_coverage</x:v>
      </x:c>
      <x:c r="B2" s="16" t="n">
        <x:v>541</x:v>
      </x:c>
      <x:c r="C2" s="16" t="n">
        <x:v>279</x:v>
      </x:c>
    </x:row>
    <x:row r="3">
      <x:c r="A3" s="8" t="str">
        <x:v>no_art_points_in_window</x:v>
      </x:c>
      <x:c r="B3" s="16" t="n">
        <x:v>2271</x:v>
      </x:c>
      <x:c r="C3" s="16" t="n">
        <x:v>351</x:v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10" hidden="0" customWidth="1"/>
    <x:col min="4" max="4" width="15" hidden="0" customWidth="1"/>
    <x:col min="5" max="5" width="20" hidden="0" customWidth="1"/>
    <x:col min="6" max="6" width="26" hidden="0" customWidth="1"/>
    <x:col min="7" max="7" width="18" hidden="0" customWidth="1"/>
  </x:cols>
  <x:sheetData>
    <x:row r="1" ht="32" customHeight="1">
      <x:c r="A1" s="14" t="str">
        <x:v>window_before_sec</x:v>
      </x:c>
      <x:c r="B1" s="14" t="str">
        <x:v>window_after_sec</x:v>
      </x:c>
      <x:c r="C1" s="14" t="str">
        <x:v>events</x:v>
      </x:c>
      <x:c r="D1" s="14" t="str">
        <x:v>paired_events</x:v>
      </x:c>
      <x:c r="E1" s="14" t="str">
        <x:v>pairing_rate</x:v>
      </x:c>
      <x:c r="F1" s="14" t="str">
        <x:v>mean_bias_nibp_minus_art</x:v>
      </x:c>
      <x:c r="G1" s="14" t="str">
        <x:v>median_abs_error</x:v>
      </x:c>
    </x:row>
    <x:row r="2">
      <x:c r="A2" s="16" t="n">
        <x:v>-30</x:v>
      </x:c>
      <x:c r="B2" s="16" t="n">
        <x:v>30</x:v>
      </x:c>
      <x:c r="C2" s="16" t="n">
        <x:v>13687</x:v>
      </x:c>
      <x:c r="D2" s="16" t="n">
        <x:v>10875</x:v>
      </x:c>
      <x:c r="E2" s="18" t="n">
        <x:v>0.7945495725871264</x:v>
      </x:c>
      <x:c r="F2" s="18" t="n">
        <x:v>0.09593103448275862</x:v>
      </x:c>
      <x:c r="G2" s="18" t="n">
        <x:v>9</x:v>
      </x:c>
    </x:row>
    <x:row r="3">
      <x:c r="A3" s="16" t="n">
        <x:v>-60</x:v>
      </x:c>
      <x:c r="B3" s="16" t="n">
        <x:v>0</x:v>
      </x:c>
      <x:c r="C3" s="16" t="n">
        <x:v>13687</x:v>
      </x:c>
      <x:c r="D3" s="16" t="n">
        <x:v>10788</x:v>
      </x:c>
      <x:c r="E3" s="18" t="n">
        <x:v>0.7881931760064295</x:v>
      </x:c>
      <x:c r="F3" s="18" t="n">
        <x:v>0.30869948090470894</x:v>
      </x:c>
      <x:c r="G3" s="18" t="n">
        <x:v>9</x:v>
      </x:c>
    </x:row>
    <x:row r="4">
      <x:c r="A4" s="16" t="n">
        <x:v>0</x:v>
      </x:c>
      <x:c r="B4" s="16" t="n">
        <x:v>60</x:v>
      </x:c>
      <x:c r="C4" s="16" t="n">
        <x:v>13687</x:v>
      </x:c>
      <x:c r="D4" s="16" t="n">
        <x:v>10956</x:v>
      </x:c>
      <x:c r="E4" s="18" t="n">
        <x:v>0.8004675969898444</x:v>
      </x:c>
      <x:c r="F4" s="18" t="n">
        <x:v>0.0892889740781307</x:v>
      </x:c>
      <x:c r="G4" s="18" t="n">
        <x:v>9.375</x:v>
      </x:c>
    </x:row>
    <x:row r="5">
      <x:c r="A5" s="16" t="n">
        <x:v>-60</x:v>
      </x:c>
      <x:c r="B5" s="16" t="n">
        <x:v>60</x:v>
      </x:c>
      <x:c r="C5" s="16" t="n">
        <x:v>13687</x:v>
      </x:c>
      <x:c r="D5" s="16" t="n">
        <x:v>10820</x:v>
      </x:c>
      <x:c r="E5" s="18" t="n">
        <x:v>0.7905311609556513</x:v>
      </x:c>
      <x:c r="F5" s="18" t="n">
        <x:v>0.14198243992606285</x:v>
      </x:c>
      <x:c r="G5" s="18" t="n">
        <x:v>9</x:v>
      </x:c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10" hidden="0" customWidth="1"/>
    <x:col min="4" max="4" width="15" hidden="0" customWidth="1"/>
    <x:col min="5" max="5" width="20" hidden="0" customWidth="1"/>
    <x:col min="6" max="6" width="26" hidden="0" customWidth="1"/>
    <x:col min="7" max="7" width="18" hidden="0" customWidth="1"/>
  </x:cols>
  <x:sheetData>
    <x:row r="1" ht="32" customHeight="1">
      <x:c r="A1" s="14" t="str">
        <x:v>window_before_sec</x:v>
      </x:c>
      <x:c r="B1" s="14" t="str">
        <x:v>window_after_sec</x:v>
      </x:c>
      <x:c r="C1" s="14" t="str">
        <x:v>events</x:v>
      </x:c>
      <x:c r="D1" s="14" t="str">
        <x:v>paired_events</x:v>
      </x:c>
      <x:c r="E1" s="14" t="str">
        <x:v>pairing_rate</x:v>
      </x:c>
      <x:c r="F1" s="14" t="str">
        <x:v>mean_bias_nibp_minus_art</x:v>
      </x:c>
      <x:c r="G1" s="14" t="str">
        <x:v>median_abs_error</x:v>
      </x:c>
    </x:row>
    <x:row r="2">
      <x:c r="A2" s="16" t="n">
        <x:v>-30</x:v>
      </x:c>
      <x:c r="B2" s="16" t="n">
        <x:v>30</x:v>
      </x:c>
      <x:c r="C2" s="16" t="n">
        <x:v>13687</x:v>
      </x:c>
      <x:c r="D2" s="16" t="n">
        <x:v>10875</x:v>
      </x:c>
      <x:c r="E2" s="18" t="n">
        <x:v>0.7945495725871264</x:v>
      </x:c>
      <x:c r="F2" s="18" t="n">
        <x:v>0.09593103448275862</x:v>
      </x:c>
      <x:c r="G2" s="18" t="n">
        <x:v>9</x:v>
      </x:c>
    </x:row>
    <x:row r="3">
      <x:c r="A3" s="16" t="n">
        <x:v>-60</x:v>
      </x:c>
      <x:c r="B3" s="16" t="n">
        <x:v>0</x:v>
      </x:c>
      <x:c r="C3" s="16" t="n">
        <x:v>13687</x:v>
      </x:c>
      <x:c r="D3" s="16" t="n">
        <x:v>10788</x:v>
      </x:c>
      <x:c r="E3" s="18" t="n">
        <x:v>0.7881931760064295</x:v>
      </x:c>
      <x:c r="F3" s="18" t="n">
        <x:v>0.30869948090470894</x:v>
      </x:c>
      <x:c r="G3" s="18" t="n">
        <x:v>9</x:v>
      </x:c>
    </x:row>
    <x:row r="4">
      <x:c r="A4" s="16" t="n">
        <x:v>0</x:v>
      </x:c>
      <x:c r="B4" s="16" t="n">
        <x:v>60</x:v>
      </x:c>
      <x:c r="C4" s="16" t="n">
        <x:v>13687</x:v>
      </x:c>
      <x:c r="D4" s="16" t="n">
        <x:v>10956</x:v>
      </x:c>
      <x:c r="E4" s="18" t="n">
        <x:v>0.8004675969898444</x:v>
      </x:c>
      <x:c r="F4" s="18" t="n">
        <x:v>0.0892889740781307</x:v>
      </x:c>
      <x:c r="G4" s="18" t="n">
        <x:v>9.375</x:v>
      </x:c>
    </x:row>
    <x:row r="5">
      <x:c r="A5" s="16" t="n">
        <x:v>-60</x:v>
      </x:c>
      <x:c r="B5" s="16" t="n">
        <x:v>60</x:v>
      </x:c>
      <x:c r="C5" s="16" t="n">
        <x:v>13687</x:v>
      </x:c>
      <x:c r="D5" s="16" t="n">
        <x:v>10820</x:v>
      </x:c>
      <x:c r="E5" s="18" t="n">
        <x:v>0.7905311609556513</x:v>
      </x:c>
      <x:c r="F5" s="18" t="n">
        <x:v>0.14198243992606285</x:v>
      </x:c>
      <x:c r="G5" s="18" t="n">
        <x:v>9</x:v>
      </x:c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21" hidden="0" customWidth="1"/>
    <x:col min="5" max="5" width="23" hidden="0" customWidth="1"/>
    <x:col min="6" max="6" width="22" hidden="0" customWidth="1"/>
    <x:col min="7" max="7" width="20" hidden="0" customWidth="1"/>
    <x:col min="8" max="8" width="20" hidden="0" customWidth="1"/>
    <x:col min="9" max="9" width="23" hidden="0" customWidth="1"/>
    <x:col min="10" max="10" width="20" hidden="0" customWidth="1"/>
    <x:col min="11" max="11" width="21" hidden="0" customWidth="1"/>
    <x:col min="12" max="12" width="21" hidden="0" customWidth="1"/>
    <x:col min="13" max="13" width="20" hidden="0" customWidth="1"/>
    <x:col min="14" max="14" width="20" hidden="0" customWidth="1"/>
    <x:col min="15" max="15" width="34" hidden="0" customWidth="1"/>
  </x:cols>
  <x:sheetData>
    <x:row r="1" ht="32" customHeight="1">
      <x:c r="A1" s="14" t="str">
        <x:v>method</x:v>
      </x:c>
      <x:c r="B1" s="14" t="str">
        <x:v>paired_events</x:v>
      </x:c>
      <x:c r="C1" s="14" t="str">
        <x:v>case_clusters</x:v>
      </x:c>
      <x:c r="D1" s="14" t="str">
        <x:v>mean_difference</x:v>
      </x:c>
      <x:c r="E1" s="14" t="str">
        <x:v>between_case_variance</x:v>
      </x:c>
      <x:c r="F1" s="14" t="str">
        <x:v>within_case_variance</x:v>
      </x:c>
      <x:c r="G1" s="14" t="str">
        <x:v>loa_low</x:v>
      </x:c>
      <x:c r="H1" s="14" t="str">
        <x:v>loa_high</x:v>
      </x:c>
      <x:c r="I1" s="14" t="str">
        <x:v>mean_ci_low</x:v>
      </x:c>
      <x:c r="J1" s="14" t="str">
        <x:v>mean_ci_high</x:v>
      </x:c>
      <x:c r="K1" s="14" t="str">
        <x:v>loa_low_ci_low</x:v>
      </x:c>
      <x:c r="L1" s="14" t="str">
        <x:v>loa_low_ci_high</x:v>
      </x:c>
      <x:c r="M1" s="14" t="str">
        <x:v>loa_high_ci_low</x:v>
      </x:c>
      <x:c r="N1" s="14" t="str">
        <x:v>loa_high_ci_high</x:v>
      </x:c>
      <x:c r="O1" s="14" t="str">
        <x:v>role</x:v>
      </x:c>
    </x:row>
    <x:row r="2">
      <x:c r="A2" s="8" t="str">
        <x:v>event_pooled_descriptive</x:v>
      </x:c>
      <x:c r="B2" s="16" t="n">
        <x:v>10875</x:v>
      </x:c>
      <x:c r="C2" s="16" t="n">
        <x:v>347</x:v>
      </x:c>
      <x:c r="D2" s="18" t="n">
        <x:v>0.09593103448275862</x:v>
      </x:c>
      <x:c r="E2" s="18"/>
      <x:c r="F2" s="18" t="n">
        <x:v>300.9789274828284</x:v>
      </x:c>
      <x:c r="G2" s="18" t="n">
        <x:v>-33.90760771985917</x:v>
      </x:c>
      <x:c r="H2" s="18" t="n">
        <x:v>34.09946978882469</x:v>
      </x:c>
      <x:c r="I2" s="18"/>
      <x:c r="J2" s="18"/>
      <x:c r="K2" s="18"/>
      <x:c r="L2" s="18"/>
      <x:c r="M2" s="18"/>
      <x:c r="N2" s="18"/>
      <x:c r="O2" s="8" t="str">
        <x:v>descriptive only; ignores within-case dependence</x:v>
      </x:c>
    </x:row>
    <x:row r="3">
      <x:c r="A3" s="8" t="str">
        <x:v>random_intercept_variance_components_mom</x:v>
      </x:c>
      <x:c r="B3" s="16" t="n">
        <x:v>10875</x:v>
      </x:c>
      <x:c r="C3" s="16" t="n">
        <x:v>347</x:v>
      </x:c>
      <x:c r="D3" s="18" t="n">
        <x:v>1.1493410954180507</x:v>
      </x:c>
      <x:c r="E3" s="18" t="n">
        <x:v>82.62084456313515</x:v>
      </x:c>
      <x:c r="F3" s="18" t="n">
        <x:v>218.67984202694558</x:v>
      </x:c>
      <x:c r="G3" s="18" t="n">
        <x:v>-32.87236840902123</x:v>
      </x:c>
      <x:c r="H3" s="18" t="n">
        <x:v>35.17105059985733</x:v>
      </x:c>
      <x:c r="I3" s="18" t="n">
        <x:v>-0.04875532097365178</x:v>
      </x:c>
      <x:c r="J3" s="18" t="n">
        <x:v>2.3954919175408973</x:v>
      </x:c>
      <x:c r="K3" s="18" t="n">
        <x:v>-34.759267149752546</x:v>
      </x:c>
      <x:c r="L3" s="18" t="n">
        <x:v>-30.993597600505595</x:v>
      </x:c>
      <x:c r="M3" s="18" t="n">
        <x:v>32.791499251118694</x:v>
      </x:c>
      <x:c r="N3" s="18" t="n">
        <x:v>37.80522639107933</x:v>
      </x:c>
      <x:c r="O3" s="8" t="str">
        <x:v>primary repeated-measures agreement summary with case-cluster bootstrap</x:v>
      </x:c>
    </x:row>
    <x:row r="4">
      <x:c r="A4" s="8" t="str">
        <x:v>random_intercept_reml_statsmodels_check</x:v>
      </x:c>
      <x:c r="B4" s="16" t="n">
        <x:v>10875</x:v>
      </x:c>
      <x:c r="C4" s="16" t="n">
        <x:v>347</x:v>
      </x:c>
      <x:c r="D4" s="18" t="n">
        <x:v>1.2387009711366452</x:v>
      </x:c>
      <x:c r="E4" s="18" t="n">
        <x:v>120.87898138053282</x:v>
      </x:c>
      <x:c r="F4" s="18" t="n">
        <x:v>219.27275764297323</x:v>
      </x:c>
      <x:c r="G4" s="18" t="n">
        <x:v>-34.90997702174023</x:v>
      </x:c>
      <x:c r="H4" s="18" t="n">
        <x:v>37.38737896401352</x:v>
      </x:c>
      <x:c r="I4" s="18"/>
      <x:c r="J4" s="18"/>
      <x:c r="K4" s="18"/>
      <x:c r="L4" s="18"/>
      <x:c r="M4" s="18"/>
      <x:c r="N4" s="18"/>
      <x:c r="O4" s="8" t="str">
        <x:v>statsmodels 0.14.6 REML validation; converged=True</x:v>
      </x:c>
    </x:row>
    <x:row r="5">
      <x:c r="A5" s="8" t="str">
        <x:v>equal_case_weighted_mean_sensitivity</x:v>
      </x:c>
      <x:c r="B5" s="16" t="n">
        <x:v>10875</x:v>
      </x:c>
      <x:c r="C5" s="16" t="n">
        <x:v>347</x:v>
      </x:c>
      <x:c r="D5" s="18" t="n">
        <x:v>1.586836735417281</x:v>
      </x:c>
      <x:c r="E5" s="18" t="n">
        <x:v>160.25183548234156</x:v>
      </x:c>
      <x:c r="F5" s="18"/>
      <x:c r="G5" s="18"/>
      <x:c r="H5" s="18"/>
      <x:c r="I5" s="18" t="n">
        <x:v>0.32975625001426395</x:v>
      </x:c>
      <x:c r="J5" s="18" t="n">
        <x:v>2.98195004421111</x:v>
      </x:c>
      <x:c r="K5" s="18"/>
      <x:c r="L5" s="18"/>
      <x:c r="M5" s="18"/>
      <x:c r="N5" s="18"/>
      <x:c r="O5" s="8" t="str">
        <x:v>sensitivity analysis giving each case equal weight</x:v>
      </x:c>
    </x:row>
    <x:row r="6">
      <x:c r="A6" s="8" t="str">
        <x:v>one_random_event_per_case_sensitivity</x:v>
      </x:c>
      <x:c r="B6" s="16" t="n">
        <x:v>347</x:v>
      </x:c>
      <x:c r="C6" s="16" t="n">
        <x:v>347</x:v>
      </x:c>
      <x:c r="D6" s="18" t="n">
        <x:v>1.5565597982708934</x:v>
      </x:c>
      <x:c r="E6" s="18"/>
      <x:c r="F6" s="18"/>
      <x:c r="G6" s="18" t="n">
        <x:v>-36.8569532643766</x:v>
      </x:c>
      <x:c r="H6" s="18" t="n">
        <x:v>39.970072860918386</x:v>
      </x:c>
      <x:c r="I6" s="18" t="n">
        <x:v>-0.020443083573487016</x:v>
      </x:c>
      <x:c r="J6" s="18" t="n">
        <x:v>3.150108069164265</x:v>
      </x:c>
      <x:c r="K6" s="18" t="n">
        <x:v>-40.46073490177076</x:v>
      </x:c>
      <x:c r="L6" s="18" t="n">
        <x:v>-33.2360669796433</x:v>
      </x:c>
      <x:c r="M6" s="18" t="n">
        <x:v>35.982036749157544</x:v>
      </x:c>
      <x:c r="N6" s="18" t="n">
        <x:v>44.495663321839736</x:v>
      </x:c>
      <x:c r="O6" s="8" t="str">
        <x:v>sensitivity analysis with one randomly selected paired event per case</x:v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34" hidden="0" customWidth="1"/>
    <x:col min="4" max="4" width="17" hidden="0" customWidth="1"/>
    <x:col min="5" max="5" width="16" hidden="0" customWidth="1"/>
    <x:col min="6" max="6" width="34" hidden="0" customWidth="1"/>
    <x:col min="7" max="7" width="34" hidden="0" customWidth="1"/>
  </x:cols>
  <x:sheetData>
    <x:row r="1" ht="32" customHeight="1">
      <x:c r="A1" s="14" t="str">
        <x:v>candidate_cases</x:v>
      </x:c>
      <x:c r="B1" s="14" t="str">
        <x:v>selected_cases</x:v>
      </x:c>
      <x:c r="C1" s="14" t="str">
        <x:v>selection_method</x:v>
      </x:c>
      <x:c r="D1" s="14" t="str">
        <x:v>random_sampling</x:v>
      </x:c>
      <x:c r="E1" s="14" t="str">
        <x:v>sampling_seed</x:v>
      </x:c>
      <x:c r="F1" s="14" t="str">
        <x:v>selected_case_list_sha256</x:v>
      </x:c>
      <x:c r="G1" s="14" t="str">
        <x:v>rationale</x:v>
      </x:c>
    </x:row>
    <x:row r="2">
      <x:c r="A2" s="16" t="n">
        <x:v>2788</x:v>
      </x:c>
      <x:c r="B2" s="16" t="n">
        <x:v>500</x:v>
      </x:c>
      <x:c r="C2" s="8" t="str">
        <x:v>predefined processed subset: first 500 eligible cases after ascending case_id ordering</x:v>
      </x:c>
      <x:c r="D2" s="28" t="b">
        <x:v>0</x:v>
      </x:c>
      <x:c r="E2" s="8" t="str">
        <x:v>not applicable</x:v>
      </x:c>
      <x:c r="F2" s="8" t="str">
        <x:v>f02297d2ba9225b6c12127dc64da61643ea5e4515bd4a17596888ae5fc9853b5</x:v>
      </x:c>
      <x:c r="G2" s="8" t="str">
        <x:v>prespecified computationally tractable processed subset; no hypothesis-based sample-size calculation</x:v>
      </x:c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0" hidden="0" customWidth="1"/>
    <x:col min="4" max="4" width="14" hidden="0" customWidth="1"/>
    <x:col min="5" max="5" width="21" hidden="0" customWidth="1"/>
    <x:col min="6" max="6" width="30" hidden="0" customWidth="1"/>
  </x:cols>
  <x:sheetData>
    <x:row r="1" ht="32" customHeight="1">
      <x:c r="A1" s="14" t="str">
        <x:v>variable</x:v>
      </x:c>
      <x:c r="B1" s="14" t="str">
        <x:v>selected_n</x:v>
      </x:c>
      <x:c r="C1" s="14" t="str">
        <x:v>selected_mean</x:v>
      </x:c>
      <x:c r="D1" s="14" t="str">
        <x:v>unselected_n</x:v>
      </x:c>
      <x:c r="E1" s="14" t="str">
        <x:v>unselected_mean</x:v>
      </x:c>
      <x:c r="F1" s="14" t="str">
        <x:v>standardised_mean_difference</x:v>
      </x:c>
    </x:row>
    <x:row r="2">
      <x:c r="A2" s="8" t="str">
        <x:v>age</x:v>
      </x:c>
      <x:c r="B2" s="16" t="n">
        <x:v>500</x:v>
      </x:c>
      <x:c r="C2" s="18" t="n">
        <x:v>59.776</x:v>
      </x:c>
      <x:c r="D2" s="16" t="n">
        <x:v>2288</x:v>
      </x:c>
      <x:c r="E2" s="18" t="n">
        <x:v>59.34090909090909</x:v>
      </x:c>
      <x:c r="F2" s="18" t="n">
        <x:v>0.03092406715395627</x:v>
      </x:c>
    </x:row>
    <x:row r="3">
      <x:c r="A3" s="8" t="str">
        <x:v>sex_male</x:v>
      </x:c>
      <x:c r="B3" s="16" t="n">
        <x:v>500</x:v>
      </x:c>
      <x:c r="C3" s="18" t="n">
        <x:v>0.58</x:v>
      </x:c>
      <x:c r="D3" s="16" t="n">
        <x:v>2288</x:v>
      </x:c>
      <x:c r="E3" s="18" t="n">
        <x:v>0.5498251748251748</x:v>
      </x:c>
      <x:c r="F3" s="18" t="n">
        <x:v>0.060856018750492555</x:v>
      </x:c>
    </x:row>
    <x:row r="4">
      <x:c r="A4" s="8" t="str">
        <x:v>asa_num</x:v>
      </x:c>
      <x:c r="B4" s="16" t="n">
        <x:v>495</x:v>
      </x:c>
      <x:c r="C4" s="18" t="n">
        <x:v>1.9252525252525252</x:v>
      </x:c>
      <x:c r="D4" s="16" t="n">
        <x:v>2235</x:v>
      </x:c>
      <x:c r="E4" s="18" t="n">
        <x:v>1.9167785234899328</x:v>
      </x:c>
      <x:c r="F4" s="18" t="n">
        <x:v>0.013448200068529037</x:v>
      </x:c>
    </x:row>
    <x:row r="5">
      <x:c r="A5" s="8" t="str">
        <x:v>emergency</x:v>
      </x:c>
      <x:c r="B5" s="16" t="n">
        <x:v>500</x:v>
      </x:c>
      <x:c r="C5" s="18" t="n">
        <x:v>0.1</x:v>
      </x:c>
      <x:c r="D5" s="16" t="n">
        <x:v>2288</x:v>
      </x:c>
      <x:c r="E5" s="18" t="n">
        <x:v>0.10839160839160839</x:v>
      </x:c>
      <x:c r="F5" s="18" t="n">
        <x:v>-0.027453369746077292</x:v>
      </x:c>
    </x:row>
    <x:row r="6">
      <x:c r="A6" s="8" t="str">
        <x:v>duration_min</x:v>
      </x:c>
      <x:c r="B6" s="16" t="n">
        <x:v>500</x:v>
      </x:c>
      <x:c r="C6" s="18" t="n">
        <x:v>228.07399999993336</x:v>
      </x:c>
      <x:c r="D6" s="16" t="n">
        <x:v>2288</x:v>
      </x:c>
      <x:c r="E6" s="18" t="n">
        <x:v>225.87194055952799</x:v>
      </x:c>
      <x:c r="F6" s="18" t="n">
        <x:v>0.020036847695979496</x:v>
      </x:c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1" hidden="0" customWidth="1"/>
    <x:col min="3" max="3" width="28" hidden="0" customWidth="1"/>
    <x:col min="4" max="4" width="34" hidden="0" customWidth="1"/>
    <x:col min="5" max="5" width="34" hidden="0" customWidth="1"/>
  </x:cols>
  <x:sheetData>
    <x:row r="1" ht="32" customHeight="1">
      <x:c r="A1" s="14" t="str">
        <x:v>term</x:v>
      </x:c>
      <x:c r="B1" s="14" t="str">
        <x:v>manuscript_wording</x:v>
      </x:c>
      <x:c r="C1" s="14" t="str">
        <x:v>not_asserted</x:v>
      </x:c>
      <x:c r="D1" s="14" t="str">
        <x:v>pairing_rule</x:v>
      </x:c>
      <x:c r="E1" s="14" t="str">
        <x:v>limitation</x:v>
      </x:c>
    </x:row>
    <x:row r="2">
      <x:c r="A2" s="8" t="str">
        <x:v>NIBP event timestamp</x:v>
      </x:c>
      <x:c r="B2" s="8" t="str">
        <x:v>recorded event time</x:v>
      </x:c>
      <x:c r="C2" s="8" t="str">
        <x:v>cuff-cycle completion time</x:v>
      </x:c>
      <x:c r="D2" s="8" t="str">
        <x:v>median of valid 10-s arterial MAP values from -30 to +30 s around recorded event time</x:v>
      </x:c>
      <x:c r="E2" s="8" t="str">
        <x:v>unknown device/database delay cannot be separated from cuff measurement error</x:v>
      </x:c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4" hidden="0" customWidth="1"/>
    <x:col min="4" max="4" width="21" hidden="0" customWidth="1"/>
    <x:col min="5" max="5" width="21" hidden="0" customWidth="1"/>
    <x:col min="6" max="6" width="21" hidden="0" customWidth="1"/>
    <x:col min="7" max="7" width="23" hidden="0" customWidth="1"/>
    <x:col min="8" max="8" width="21" hidden="0" customWidth="1"/>
    <x:col min="9" max="9" width="21" hidden="0" customWidth="1"/>
    <x:col min="10" max="10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offset_count</x:v>
      </x:c>
      <x:c r="D1" s="14" t="str">
        <x:v>hdr_min</x:v>
      </x:c>
      <x:c r="E1" s="14" t="str">
        <x:v>hdr_median</x:v>
      </x:c>
      <x:c r="F1" s="14" t="str">
        <x:v>hdr_max</x:v>
      </x:c>
      <x:c r="G1" s="14" t="str">
        <x:v>hdr_sd</x:v>
      </x:c>
      <x:c r="H1" s="14" t="str">
        <x:v>odr_min</x:v>
      </x:c>
      <x:c r="I1" s="14" t="str">
        <x:v>odr_median</x:v>
      </x:c>
      <x:c r="J1" s="14" t="str">
        <x:v>odr_max</x:v>
      </x:c>
    </x:row>
    <x:row r="2">
      <x:c r="A2" s="16" t="n">
        <x:v>55</x:v>
      </x:c>
      <x:c r="B2" s="18" t="n">
        <x:v>1</x:v>
      </x:c>
      <x:c r="C2" s="16" t="n">
        <x:v>6</x:v>
      </x:c>
      <x:c r="D2" s="18" t="n">
        <x:v>0.48810642063393606</x:v>
      </x:c>
      <x:c r="E2" s="18" t="n">
        <x:v>0.4927973901220627</x:v>
      </x:c>
      <x:c r="F2" s="18" t="n">
        <x:v>0.49717313861368595</x:v>
      </x:c>
      <x:c r="G2" s="18" t="n">
        <x:v>0.003941021080849321</x:v>
      </x:c>
      <x:c r="H2" s="18" t="n">
        <x:v>0.42937657135767837</x:v>
      </x:c>
      <x:c r="I2" s="18" t="n">
        <x:v>0.44272219282410163</x:v>
      </x:c>
      <x:c r="J2" s="18" t="n">
        <x:v>0.45326880375530754</x:v>
      </x:c>
    </x:row>
    <x:row r="3">
      <x:c r="A3" s="16" t="n">
        <x:v>55</x:v>
      </x:c>
      <x:c r="B3" s="18" t="n">
        <x:v>2.5</x:v>
      </x:c>
      <x:c r="C3" s="16" t="n">
        <x:v>15</x:v>
      </x:c>
      <x:c r="D3" s="18" t="n">
        <x:v>0.67690354237507</x:v>
      </x:c>
      <x:c r="E3" s="18" t="n">
        <x:v>0.6814356354171678</x:v>
      </x:c>
      <x:c r="F3" s="18" t="n">
        <x:v>0.6962763412083725</x:v>
      </x:c>
      <x:c r="G3" s="18" t="n">
        <x:v>0.005000369926874658</x:v>
      </x:c>
      <x:c r="H3" s="18" t="n">
        <x:v>0.5776608323353445</x:v>
      </x:c>
      <x:c r="I3" s="18" t="n">
        <x:v>0.6188142626740362</x:v>
      </x:c>
      <x:c r="J3" s="18" t="n">
        <x:v>0.6565053258422984</x:v>
      </x:c>
    </x:row>
    <x:row r="4">
      <x:c r="A4" s="16" t="n">
        <x:v>55</x:v>
      </x:c>
      <x:c r="B4" s="18" t="n">
        <x:v>3</x:v>
      </x:c>
      <x:c r="C4" s="16" t="n">
        <x:v>18</x:v>
      </x:c>
      <x:c r="D4" s="18" t="n">
        <x:v>0.7053417932403453</x:v>
      </x:c>
      <x:c r="E4" s="18" t="n">
        <x:v>0.7146072650211034</x:v>
      </x:c>
      <x:c r="F4" s="18" t="n">
        <x:v>0.7213256498742914</x:v>
      </x:c>
      <x:c r="G4" s="18" t="n">
        <x:v>0.0044570998714431025</x:v>
      </x:c>
      <x:c r="H4" s="18" t="n">
        <x:v>0.6158595405622327</x:v>
      </x:c>
      <x:c r="I4" s="18" t="n">
        <x:v>0.6508414754874532</x:v>
      </x:c>
      <x:c r="J4" s="18" t="n">
        <x:v>0.6904732365980438</x:v>
      </x:c>
    </x:row>
    <x:row r="5">
      <x:c r="A5" s="16" t="n">
        <x:v>55</x:v>
      </x:c>
      <x:c r="B5" s="18" t="n">
        <x:v>5</x:v>
      </x:c>
      <x:c r="C5" s="16" t="n">
        <x:v>30</x:v>
      </x:c>
      <x:c r="D5" s="18" t="n">
        <x:v>0.7806922708824416</x:v>
      </x:c>
      <x:c r="E5" s="18" t="n">
        <x:v>0.793703049161816</x:v>
      </x:c>
      <x:c r="F5" s="18" t="n">
        <x:v>0.8038312643526829</x:v>
      </x:c>
      <x:c r="G5" s="18" t="n">
        <x:v>0.005181630207425957</x:v>
      </x:c>
      <x:c r="H5" s="18" t="n">
        <x:v>0.6643630636948965</x:v>
      </x:c>
      <x:c r="I5" s="18" t="n">
        <x:v>0.7246304065464693</x:v>
      </x:c>
      <x:c r="J5" s="18" t="n">
        <x:v>0.7885867212205763</x:v>
      </x:c>
    </x:row>
    <x:row r="6">
      <x:c r="A6" s="16" t="n">
        <x:v>55</x:v>
      </x:c>
      <x:c r="B6" s="18" t="n">
        <x:v>10</x:v>
      </x:c>
      <x:c r="C6" s="16" t="n">
        <x:v>60</x:v>
      </x:c>
      <x:c r="D6" s="18" t="n">
        <x:v>0.8545261430875454</x:v>
      </x:c>
      <x:c r="E6" s="18" t="n">
        <x:v>0.8688079329351506</x:v>
      </x:c>
      <x:c r="F6" s="18" t="n">
        <x:v>0.8898384903825948</x:v>
      </x:c>
      <x:c r="G6" s="18" t="n">
        <x:v>0.007895784777126762</x:v>
      </x:c>
      <x:c r="H6" s="18" t="n">
        <x:v>0.6674924865999428</x:v>
      </x:c>
      <x:c r="I6" s="18" t="n">
        <x:v>0.8076753147779148</x:v>
      </x:c>
      <x:c r="J6" s="18" t="n">
        <x:v>0.9267940378923489</x:v>
      </x:c>
    </x:row>
    <x:row r="7">
      <x:c r="A7" s="16" t="n">
        <x:v>60</x:v>
      </x:c>
      <x:c r="B7" s="18" t="n">
        <x:v>1</x:v>
      </x:c>
      <x:c r="C7" s="16" t="n">
        <x:v>6</x:v>
      </x:c>
      <x:c r="D7" s="18" t="n">
        <x:v>0.40613157606259787</x:v>
      </x:c>
      <x:c r="E7" s="18" t="n">
        <x:v>0.40956556670732364</x:v>
      </x:c>
      <x:c r="F7" s="18" t="n">
        <x:v>0.41269497670894717</x:v>
      </x:c>
      <x:c r="G7" s="18" t="n">
        <x:v>0.0029088912372104508</x:v>
      </x:c>
      <x:c r="H7" s="18" t="n">
        <x:v>0.3679937779516917</x:v>
      </x:c>
      <x:c r="I7" s="18" t="n">
        <x:v>0.3780119834097213</x:v>
      </x:c>
      <x:c r="J7" s="18" t="n">
        <x:v>0.38391592186639245</x:v>
      </x:c>
    </x:row>
    <x:row r="8">
      <x:c r="A8" s="16" t="n">
        <x:v>60</x:v>
      </x:c>
      <x:c r="B8" s="18" t="n">
        <x:v>2.5</x:v>
      </x:c>
      <x:c r="C8" s="16" t="n">
        <x:v>15</x:v>
      </x:c>
      <x:c r="D8" s="18" t="n">
        <x:v>0.5912291875675593</x:v>
      </x:c>
      <x:c r="E8" s="18" t="n">
        <x:v>0.5944650967234338</x:v>
      </x:c>
      <x:c r="F8" s="18" t="n">
        <x:v>0.6060412425780148</x:v>
      </x:c>
      <x:c r="G8" s="18" t="n">
        <x:v>0.003699410571611297</x:v>
      </x:c>
      <x:c r="H8" s="18" t="n">
        <x:v>0.5248597472050043</x:v>
      </x:c>
      <x:c r="I8" s="18" t="n">
        <x:v>0.5522171944445601</x:v>
      </x:c>
      <x:c r="J8" s="18" t="n">
        <x:v>0.578497855446998</x:v>
      </x:c>
    </x:row>
    <x:row r="9">
      <x:c r="A9" s="16" t="n">
        <x:v>60</x:v>
      </x:c>
      <x:c r="B9" s="18" t="n">
        <x:v>3</x:v>
      </x:c>
      <x:c r="C9" s="16" t="n">
        <x:v>18</x:v>
      </x:c>
      <x:c r="D9" s="18" t="n">
        <x:v>0.6238664951579309</x:v>
      </x:c>
      <x:c r="E9" s="18" t="n">
        <x:v>0.6302616479547305</x:v>
      </x:c>
      <x:c r="F9" s="18" t="n">
        <x:v>0.6357784429060461</x:v>
      </x:c>
      <x:c r="G9" s="18" t="n">
        <x:v>0.0036889937796977315</x:v>
      </x:c>
      <x:c r="H9" s="18" t="n">
        <x:v>0.5619887520241778</x:v>
      </x:c>
      <x:c r="I9" s="18" t="n">
        <x:v>0.5895536471277143</x:v>
      </x:c>
      <x:c r="J9" s="18" t="n">
        <x:v>0.6141129765230072</x:v>
      </x:c>
    </x:row>
    <x:row r="10">
      <x:c r="A10" s="16" t="n">
        <x:v>60</x:v>
      </x:c>
      <x:c r="B10" s="18" t="n">
        <x:v>5</x:v>
      </x:c>
      <x:c r="C10" s="16" t="n">
        <x:v>30</x:v>
      </x:c>
      <x:c r="D10" s="18" t="n">
        <x:v>0.7065091450511543</x:v>
      </x:c>
      <x:c r="E10" s="18" t="n">
        <x:v>0.7181307351702529</x:v>
      </x:c>
      <x:c r="F10" s="18" t="n">
        <x:v>0.7262035098235929</x:v>
      </x:c>
      <x:c r="G10" s="18" t="n">
        <x:v>0.005332119615482962</x:v>
      </x:c>
      <x:c r="H10" s="18" t="n">
        <x:v>0.6345809345005918</x:v>
      </x:c>
      <x:c r="I10" s="18" t="n">
        <x:v>0.6711961762987693</x:v>
      </x:c>
      <x:c r="J10" s="18" t="n">
        <x:v>0.7103667039934061</x:v>
      </x:c>
    </x:row>
    <x:row r="11">
      <x:c r="A11" s="16" t="n">
        <x:v>60</x:v>
      </x:c>
      <x:c r="B11" s="18" t="n">
        <x:v>10</x:v>
      </x:c>
      <x:c r="C11" s="16" t="n">
        <x:v>60</x:v>
      </x:c>
      <x:c r="D11" s="18" t="n">
        <x:v>0.7985348214075094</x:v>
      </x:c>
      <x:c r="E11" s="18" t="n">
        <x:v>0.8086626481448332</x:v>
      </x:c>
      <x:c r="F11" s="18" t="n">
        <x:v>0.8264341307934499</x:v>
      </x:c>
      <x:c r="G11" s="18" t="n">
        <x:v>0.0069519446583864416</x:v>
      </x:c>
      <x:c r="H11" s="18" t="n">
        <x:v>0.6790524836157815</x:v>
      </x:c>
      <x:c r="I11" s="18" t="n">
        <x:v>0.7686890405085316</x:v>
      </x:c>
      <x:c r="J11" s="18" t="n">
        <x:v>0.8514055806944438</x:v>
      </x:c>
    </x:row>
    <x:row r="12">
      <x:c r="A12" s="16" t="n">
        <x:v>65</x:v>
      </x:c>
      <x:c r="B12" s="18" t="n">
        <x:v>1</x:v>
      </x:c>
      <x:c r="C12" s="16" t="n">
        <x:v>6</x:v>
      </x:c>
      <x:c r="D12" s="18" t="n">
        <x:v>0.3009376285091948</x:v>
      </x:c>
      <x:c r="E12" s="18" t="n">
        <x:v>0.30285918856235594</x:v>
      </x:c>
      <x:c r="F12" s="18" t="n">
        <x:v>0.30533276214604554</x:v>
      </x:c>
      <x:c r="G12" s="18" t="n">
        <x:v>0.0018156130187875002</x:v>
      </x:c>
      <x:c r="H12" s="18" t="n">
        <x:v>0.28026905972106314</x:v>
      </x:c>
      <x:c r="I12" s="18" t="n">
        <x:v>0.28623919569372247</x:v>
      </x:c>
      <x:c r="J12" s="18" t="n">
        <x:v>0.29014015486887373</x:v>
      </x:c>
    </x:row>
    <x:row r="13">
      <x:c r="A13" s="16" t="n">
        <x:v>65</x:v>
      </x:c>
      <x:c r="B13" s="18" t="n">
        <x:v>2.5</x:v>
      </x:c>
      <x:c r="C13" s="16" t="n">
        <x:v>15</x:v>
      </x:c>
      <x:c r="D13" s="18" t="n">
        <x:v>0.4651014312944956</x:v>
      </x:c>
      <x:c r="E13" s="18" t="n">
        <x:v>0.4690770727837944</x:v>
      </x:c>
      <x:c r="F13" s="18" t="n">
        <x:v>0.4742079066642684</x:v>
      </x:c>
      <x:c r="G13" s="18" t="n">
        <x:v>0.002362172765505721</x:v>
      </x:c>
      <x:c r="H13" s="18" t="n">
        <x:v>0.4286933264519672</x:v>
      </x:c>
      <x:c r="I13" s="18" t="n">
        <x:v>0.44454218470239254</x:v>
      </x:c>
      <x:c r="J13" s="18" t="n">
        <x:v>0.4604917846276467</x:v>
      </x:c>
    </x:row>
    <x:row r="14">
      <x:c r="A14" s="16" t="n">
        <x:v>65</x:v>
      </x:c>
      <x:c r="B14" s="18" t="n">
        <x:v>3</x:v>
      </x:c>
      <x:c r="C14" s="16" t="n">
        <x:v>18</x:v>
      </x:c>
      <x:c r="D14" s="18" t="n">
        <x:v>0.4995239399719449</x:v>
      </x:c>
      <x:c r="E14" s="18" t="n">
        <x:v>0.5037280775628269</x:v>
      </x:c>
      <x:c r="F14" s="18" t="n">
        <x:v>0.5068637813657775</x:v>
      </x:c>
      <x:c r="G14" s="18" t="n">
        <x:v>0.00210781895189532</x:v>
      </x:c>
      <x:c r="H14" s="18" t="n">
        <x:v>0.4654811988068627</x:v>
      </x:c>
      <x:c r="I14" s="18" t="n">
        <x:v>0.48073466422513766</x:v>
      </x:c>
      <x:c r="J14" s="18" t="n">
        <x:v>0.49283049784184</x:v>
      </x:c>
    </x:row>
    <x:row r="15">
      <x:c r="A15" s="16" t="n">
        <x:v>65</x:v>
      </x:c>
      <x:c r="B15" s="18" t="n">
        <x:v>5</x:v>
      </x:c>
      <x:c r="C15" s="16" t="n">
        <x:v>30</x:v>
      </x:c>
      <x:c r="D15" s="18" t="n">
        <x:v>0.5906395412027093</x:v>
      </x:c>
      <x:c r="E15" s="18" t="n">
        <x:v>0.597773926783366</x:v>
      </x:c>
      <x:c r="F15" s="18" t="n">
        <x:v>0.6031734580962302</x:v>
      </x:c>
      <x:c r="G15" s="18" t="n">
        <x:v>0.003243524456071754</x:v>
      </x:c>
      <x:c r="H15" s="18" t="n">
        <x:v>0.549317022292194</x:v>
      </x:c>
      <x:c r="I15" s="18" t="n">
        <x:v>0.5725073109218595</x:v>
      </x:c>
      <x:c r="J15" s="18" t="n">
        <x:v>0.5951983403365217</x:v>
      </x:c>
    </x:row>
    <x:row r="16">
      <x:c r="A16" s="16" t="n">
        <x:v>65</x:v>
      </x:c>
      <x:c r="B16" s="18" t="n">
        <x:v>10</x:v>
      </x:c>
      <x:c r="C16" s="16" t="n">
        <x:v>60</x:v>
      </x:c>
      <x:c r="D16" s="18" t="n">
        <x:v>0.6999626906226345</x:v>
      </x:c>
      <x:c r="E16" s="18" t="n">
        <x:v>0.7077458589451298</x:v>
      </x:c>
      <x:c r="F16" s="18" t="n">
        <x:v>0.7172305128418623</x:v>
      </x:c>
      <x:c r="G16" s="18" t="n">
        <x:v>0.004417033651249422</x:v>
      </x:c>
      <x:c r="H16" s="18" t="n">
        <x:v>0.6336536939779359</x:v>
      </x:c>
      <x:c r="I16" s="18" t="n">
        <x:v>0.6815725680101644</x:v>
      </x:c>
      <x:c r="J16" s="18" t="n">
        <x:v>0.7306250242320275</x:v>
      </x:c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</x:cols>
  <x:sheetData>
    <x:row r="1" ht="32" customHeight="1">
      <x:c r="A1" s="14" t="str">
        <x:v>package</x:v>
      </x:c>
      <x:c r="B1" s="14" t="str">
        <x:v>version</x:v>
      </x:c>
    </x:row>
    <x:row r="2">
      <x:c r="A2" s="8" t="str">
        <x:v>numpy</x:v>
      </x:c>
      <x:c r="B2" s="8" t="str">
        <x:v>2.3.5</x:v>
      </x:c>
    </x:row>
    <x:row r="3">
      <x:c r="A3" s="8" t="str">
        <x:v>pandas</x:v>
      </x:c>
      <x:c r="B3" s="8" t="str">
        <x:v>2.2.3</x:v>
      </x:c>
    </x:row>
    <x:row r="4">
      <x:c r="A4" s="8" t="str">
        <x:v>pyarrow</x:v>
      </x:c>
      <x:c r="B4" s="8" t="str">
        <x:v>24.0.0</x:v>
      </x:c>
    </x:row>
    <x:row r="5">
      <x:c r="A5" s="8" t="str">
        <x:v>scipy</x:v>
      </x:c>
      <x:c r="B5" s="8" t="str">
        <x:v>1.18.0</x:v>
      </x:c>
    </x:row>
    <x:row r="6">
      <x:c r="A6" s="8" t="str">
        <x:v>statsmodels</x:v>
      </x:c>
      <x:c r="B6" s="8" t="str">
        <x:v>0.14.6</x:v>
      </x:c>
    </x:row>
    <x:row r="7">
      <x:c r="A7" s="8" t="str">
        <x:v>scikit-learn</x:v>
      </x:c>
      <x:c r="B7" s="8" t="str">
        <x:v>1.9.0</x:v>
      </x:c>
    </x:row>
    <x:row r="8">
      <x:c r="A8" s="8" t="str">
        <x:v>matplotlib</x:v>
      </x:c>
      <x:c r="B8" s="8" t="str">
        <x:v>3.11.0</x:v>
      </x:c>
    </x:row>
    <x:row r="9">
      <x:c r="A9" s="8" t="str">
        <x:v>PyYAML</x:v>
      </x:c>
      <x:c r="B9" s="8" t="str">
        <x:v>6.0.3</x:v>
      </x:c>
    </x:row>
    <x:row r="10">
      <x:c r="A10" s="8" t="str">
        <x:v>pytest</x:v>
      </x:c>
      <x:c r="B10" s="8" t="str">
        <x:v>9.1.1</x:v>
      </x:c>
    </x:row>
    <x:row r="11">
      <x:c r="A11" s="8" t="str">
        <x:v>openpyxl</x:v>
      </x:c>
      <x:c r="B11" s="8" t="str">
        <x:v>3.1.5</x:v>
      </x:c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27" hidden="0" customWidth="1"/>
    <x:col min="4" max="4" width="34" hidden="0" customWidth="1"/>
    <x:col min="5" max="5" width="34" hidden="0" customWidth="1"/>
  </x:cols>
  <x:sheetData>
    <x:row r="1" ht="32" customHeight="1">
      <x:c r="A1" s="14" t="str">
        <x:v>track_role</x:v>
      </x:c>
      <x:c r="B1" s="14" t="str">
        <x:v>selected_track_name</x:v>
      </x:c>
      <x:c r="C1" s="14" t="str">
        <x:v>selected_cases_all_source</x:v>
      </x:c>
      <x:c r="D1" s="14" t="str">
        <x:v>selected_cases_pre_coverage_candidate</x:v>
      </x:c>
      <x:c r="E1" s="14" t="str">
        <x:v>selected_cases_primary_arterial_cohort</x:v>
      </x:c>
    </x:row>
    <x:row r="2">
      <x:c r="A2" s="8" t="str">
        <x:v>arterial_map</x:v>
      </x:c>
      <x:c r="B2" s="8" t="str">
        <x:v>EV1000/ART_MBP</x:v>
      </x:c>
      <x:c r="C2" s="16" t="n">
        <x:v>11</x:v>
      </x:c>
      <x:c r="D2" s="16" t="n">
        <x:v>10</x:v>
      </x:c>
      <x:c r="E2" s="16" t="n">
        <x:v>0</x:v>
      </x:c>
    </x:row>
    <x:row r="3">
      <x:c r="A3" s="8" t="str">
        <x:v>arterial_map</x:v>
      </x:c>
      <x:c r="B3" s="8" t="str">
        <x:v>Solar8000/ART_MBP</x:v>
      </x:c>
      <x:c r="C3" s="16" t="n">
        <x:v>3724</x:v>
      </x:c>
      <x:c r="D3" s="16" t="n">
        <x:v>3305</x:v>
      </x:c>
      <x:c r="E3" s="16" t="n">
        <x:v>2435</x:v>
      </x:c>
    </x:row>
    <x:row r="4">
      <x:c r="A4" s="8" t="str">
        <x:v>nibp_map</x:v>
      </x:c>
      <x:c r="B4" s="8" t="str">
        <x:v>Solar8000/NIBP_MBP</x:v>
      </x:c>
      <x:c r="C4" s="16" t="n">
        <x:v>5763</x:v>
      </x:c>
      <x:c r="D4" s="16" t="n">
        <x:v>2788</x:v>
      </x:c>
      <x:c r="E4" s="16" t="n">
        <x:v>1995</x:v>
      </x:c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33" hidden="0" customWidth="1"/>
    <x:col min="4" max="4" width="26" hidden="0" customWidth="1"/>
    <x:col min="5" max="5" width="29" hidden="0" customWidth="1"/>
    <x:col min="6" max="6" width="21" hidden="0" customWidth="1"/>
    <x:col min="7" max="7" width="20" hidden="0" customWidth="1"/>
  </x:cols>
  <x:sheetData>
    <x:row r="1" ht="32" customHeight="1">
      <x:c r="A1" s="14" t="str">
        <x:v>rank_cutoff</x:v>
      </x:c>
      <x:c r="B1" s="14" t="str">
        <x:v>selected_n</x:v>
      </x:c>
      <x:c r="C1" s="14" t="str">
        <x:v>monitoring_burden_case_fraction</x:v>
      </x:c>
      <x:c r="D1" s="14" t="str">
        <x:v>high_hidden_events_total</x:v>
      </x:c>
      <x:c r="E1" s="14" t="str">
        <x:v>high_hidden_events_captured</x:v>
      </x:c>
      <x:c r="F1" s="14" t="str">
        <x:v>capture_rate</x:v>
      </x:c>
      <x:c r="G1" s="14" t="str">
        <x:v>nnt_monitor</x:v>
      </x:c>
    </x:row>
    <x:row r="2">
      <x:c r="A2" s="18" t="n">
        <x:v>0.05</x:v>
      </x:c>
      <x:c r="B2" s="16" t="n">
        <x:v>122</x:v>
      </x:c>
      <x:c r="C2" s="18" t="n">
        <x:v>0.05010266940451746</x:v>
      </x:c>
      <x:c r="D2" s="16" t="n">
        <x:v>487</x:v>
      </x:c>
      <x:c r="E2" s="16" t="n">
        <x:v>71</x:v>
      </x:c>
      <x:c r="F2" s="18" t="n">
        <x:v>0.1457905544147844</x:v>
      </x:c>
      <x:c r="G2" s="18" t="n">
        <x:v>1.7183098591549295</x:v>
      </x:c>
    </x:row>
    <x:row r="3">
      <x:c r="A3" s="18" t="n">
        <x:v>0.1</x:v>
      </x:c>
      <x:c r="B3" s="16" t="n">
        <x:v>244</x:v>
      </x:c>
      <x:c r="C3" s="18" t="n">
        <x:v>0.10020533880903491</x:v>
      </x:c>
      <x:c r="D3" s="16" t="n">
        <x:v>487</x:v>
      </x:c>
      <x:c r="E3" s="16" t="n">
        <x:v>119</x:v>
      </x:c>
      <x:c r="F3" s="18" t="n">
        <x:v>0.24435318275154005</x:v>
      </x:c>
      <x:c r="G3" s="18" t="n">
        <x:v>2.0504201680672267</x:v>
      </x:c>
    </x:row>
    <x:row r="4">
      <x:c r="A4" s="18" t="n">
        <x:v>0.2</x:v>
      </x:c>
      <x:c r="B4" s="16" t="n">
        <x:v>487</x:v>
      </x:c>
      <x:c r="C4" s="18" t="n">
        <x:v>0.2</x:v>
      </x:c>
      <x:c r="D4" s="16" t="n">
        <x:v>487</x:v>
      </x:c>
      <x:c r="E4" s="16" t="n">
        <x:v>199</x:v>
      </x:c>
      <x:c r="F4" s="18" t="n">
        <x:v>0.4086242299794661</x:v>
      </x:c>
      <x:c r="G4" s="18" t="n">
        <x:v>2.4472361809045227</x:v>
      </x:c>
    </x:row>
    <x:row r="5">
      <x:c r="A5" s="18" t="n">
        <x:v>0.3</x:v>
      </x:c>
      <x:c r="B5" s="16" t="n">
        <x:v>731</x:v>
      </x:c>
      <x:c r="C5" s="18" t="n">
        <x:v>0.3002053388090349</x:v>
      </x:c>
      <x:c r="D5" s="16" t="n">
        <x:v>487</x:v>
      </x:c>
      <x:c r="E5" s="16" t="n">
        <x:v>278</x:v>
      </x:c>
      <x:c r="F5" s="18" t="n">
        <x:v>0.5708418891170431</x:v>
      </x:c>
      <x:c r="G5" s="18" t="n">
        <x:v>2.629496402877698</x:v>
      </x:c>
    </x:row>
    <x:row r="6">
      <x:c r="A6" s="18" t="n">
        <x:v>0.5</x:v>
      </x:c>
      <x:c r="B6" s="16" t="n">
        <x:v>1218</x:v>
      </x:c>
      <x:c r="C6" s="18" t="n">
        <x:v>0.500205338809035</x:v>
      </x:c>
      <x:c r="D6" s="16" t="n">
        <x:v>487</x:v>
      </x:c>
      <x:c r="E6" s="16" t="n">
        <x:v>373</x:v>
      </x:c>
      <x:c r="F6" s="18" t="n">
        <x:v>0.7659137577002053</x:v>
      </x:c>
      <x:c r="G6" s="18" t="n">
        <x:v>3.265415549597855</x:v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9" hidden="0" customWidth="1"/>
    <x:col min="3" max="3" width="19" hidden="0" customWidth="1"/>
  </x:cols>
  <x:sheetData>
    <x:row r="1" ht="32" customHeight="1">
      <x:c r="A1" s="14" t="str">
        <x:v>variable</x:v>
      </x:c>
      <x:c r="B1" s="14" t="str">
        <x:v>vitaldb_available</x:v>
      </x:c>
      <x:c r="C1" s="14" t="str">
        <x:v>inspire_available</x:v>
      </x:c>
    </x:row>
    <x:row r="2">
      <x:c r="A2" s="8" t="str">
        <x:v>age</x:v>
      </x:c>
      <x:c r="B2" s="28" t="b">
        <x:v>1</x:v>
      </x:c>
      <x:c r="C2" s="28" t="b">
        <x:v>1</x:v>
      </x:c>
    </x:row>
    <x:row r="3">
      <x:c r="A3" s="8" t="str">
        <x:v>sex_male</x:v>
      </x:c>
      <x:c r="B3" s="28" t="b">
        <x:v>1</x:v>
      </x:c>
      <x:c r="C3" s="28" t="b">
        <x:v>1</x:v>
      </x:c>
    </x:row>
    <x:row r="4">
      <x:c r="A4" s="8" t="str">
        <x:v>asa_num</x:v>
      </x:c>
      <x:c r="B4" s="28" t="b">
        <x:v>1</x:v>
      </x:c>
      <x:c r="C4" s="28" t="b">
        <x:v>1</x:v>
      </x:c>
    </x:row>
    <x:row r="5">
      <x:c r="A5" s="8" t="str">
        <x:v>emergency</x:v>
      </x:c>
      <x:c r="B5" s="28" t="b">
        <x:v>1</x:v>
      </x:c>
      <x:c r="C5" s="28" t="b">
        <x:v>1</x:v>
      </x:c>
    </x:row>
    <x:row r="6">
      <x:c r="A6" s="8" t="str">
        <x:v>duration_min</x:v>
      </x:c>
      <x:c r="B6" s="28" t="b">
        <x:v>1</x:v>
      </x:c>
      <x:c r="C6" s="28" t="b">
        <x:v>1</x:v>
      </x:c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21" hidden="0" customWidth="1"/>
    <x:col min="4" max="4" width="30" hidden="0" customWidth="1"/>
  </x:cols>
  <x:sheetData>
    <x:row r="1" ht="32" customHeight="1">
      <x:c r="A1" s="14" t="str">
        <x:v>variable</x:v>
      </x:c>
      <x:c r="B1" s="14" t="str">
        <x:v>vitaldb_mean</x:v>
      </x:c>
      <x:c r="C1" s="14" t="str">
        <x:v>inspire_mean</x:v>
      </x:c>
      <x:c r="D1" s="14" t="str">
        <x:v>standardized_mean_difference</x:v>
      </x:c>
    </x:row>
    <x:row r="2">
      <x:c r="A2" s="8" t="str">
        <x:v>age</x:v>
      </x:c>
      <x:c r="B2" s="18" t="n">
        <x:v>59.656711915535446</x:v>
      </x:c>
      <x:c r="C2" s="18" t="n">
        <x:v>54.43338617486827</x:v>
      </x:c>
      <x:c r="D2" s="18" t="n">
        <x:v>0.3514451680619944</x:v>
      </x:c>
    </x:row>
    <x:row r="3">
      <x:c r="A3" s="8" t="str">
        <x:v>sex_male</x:v>
      </x:c>
      <x:c r="B3" s="18" t="n">
        <x:v>0.5517345399698341</x:v>
      </x:c>
      <x:c r="C3" s="18" t="n">
        <x:v>0.44447173350004465</x:v>
      </x:c>
      <x:c r="D3" s="18" t="n">
        <x:v>0.2157551372059928</x:v>
      </x:c>
    </x:row>
    <x:row r="4">
      <x:c r="A4" s="8" t="str">
        <x:v>asa_num</x:v>
      </x:c>
      <x:c r="B4" s="18" t="n">
        <x:v>1.9264162561576355</x:v>
      </x:c>
      <x:c r="C4" s="18" t="n">
        <x:v>1.7401601948999643</x:v>
      </x:c>
      <x:c r="D4" s="18" t="n">
        <x:v>0.29035495829806746</x:v>
      </x:c>
    </x:row>
    <x:row r="5">
      <x:c r="A5" s="8" t="str">
        <x:v>duration_min</x:v>
      </x:c>
      <x:c r="B5" s="18" t="n">
        <x:v>228.77677224740572</x:v>
      </x:c>
      <x:c r="C5" s="18" t="n">
        <x:v>177.39673573278557</x:v>
      </x:c>
      <x:c r="D5" s="18" t="n">
        <x:v>0.46988074101240523</x:v>
      </x:c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34" hidden="0" customWidth="1"/>
    <x:col min="4" max="4" width="34" hidden="0" customWidth="1"/>
  </x:cols>
  <x:sheetData>
    <x:row r="1" ht="32" customHeight="1">
      <x:c r="A1" s="14" t="str">
        <x:v>package</x:v>
      </x:c>
      <x:c r="B1" s="14" t="str">
        <x:v>version</x:v>
      </x:c>
      <x:c r="C1" s="14" t="str">
        <x:v>final_analysis_use</x:v>
      </x:c>
      <x:c r="D1" s="14" t="str">
        <x:v>output</x:v>
      </x:c>
    </x:row>
    <x:row r="2">
      <x:c r="A2" s="8" t="str">
        <x:v>statsmodels</x:v>
      </x:c>
      <x:c r="B2" s="8" t="str">
        <x:v>0.14.6</x:v>
      </x:c>
      <x:c r="C2" s="8" t="str">
        <x:v>intercept-only random-intercept REML variance-component check for repeated-measures NIBP-arterial agreement</x:v>
      </x:c>
      <x:c r="D2" s="8" t="str">
        <x:v>nibp_repeated_measures_bland_altman.csv</x:v>
      </x:c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1" hidden="0" customWidth="1"/>
    <x:col min="4" max="4" width="10" hidden="0" customWidth="1"/>
    <x:col min="5" max="5" width="19" hidden="0" customWidth="1"/>
    <x:col min="6" max="6" width="20" hidden="0" customWidth="1"/>
    <x:col min="7" max="7" width="20" hidden="0" customWidth="1"/>
    <x:col min="8" max="8" width="23" hidden="0" customWidth="1"/>
    <x:col min="9" max="9" width="21" hidden="0" customWidth="1"/>
    <x:col min="10" max="10" width="21" hidden="0" customWidth="1"/>
    <x:col min="11" max="11" width="24" hidden="0" customWidth="1"/>
    <x:col min="12" max="12" width="20" hidden="0" customWidth="1"/>
    <x:col min="13" max="13" width="20" hidden="0" customWidth="1"/>
    <x:col min="14" max="14" width="21" hidden="0" customWidth="1"/>
    <x:col min="15" max="15" width="27" hidden="0" customWidth="1"/>
    <x:col min="16" max="16" width="21" hidden="0" customWidth="1"/>
    <x:col min="17" max="17" width="21" hidden="0" customWidth="1"/>
    <x:col min="18" max="18" width="23" hidden="0" customWidth="1"/>
    <x:col min="19" max="19" width="32" hidden="0" customWidth="1"/>
    <x:col min="20" max="20" width="29" hidden="0" customWidth="1"/>
    <x:col min="21" max="21" width="17" hidden="0" customWidth="1"/>
    <x:col min="22" max="22" width="32" hidden="0" customWidth="1"/>
    <x:col min="23" max="23" width="34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threshold</x:v>
      </x:c>
      <x:c r="D1" s="14" t="str">
        <x:v>n_cases</x:v>
      </x:c>
      <x:c r="E1" s="14" t="str">
        <x:v>true_auc_total</x:v>
      </x:c>
      <x:c r="F1" s="14" t="str">
        <x:v>display_auc_total</x:v>
      </x:c>
      <x:c r="G1" s="14" t="str">
        <x:v>hidden_auc_total</x:v>
      </x:c>
      <x:c r="H1" s="14" t="str">
        <x:v>overdisplay_auc_total</x:v>
      </x:c>
      <x:c r="I1" s="14" t="str">
        <x:v>HDR</x:v>
      </x:c>
      <x:c r="J1" s="14" t="str">
        <x:v>ODR</x:v>
      </x:c>
      <x:c r="K1" s="14" t="str">
        <x:v>NetBias</x:v>
      </x:c>
      <x:c r="L1" s="14" t="str">
        <x:v>measurement_burden</x:v>
      </x:c>
      <x:c r="M1" s="14" t="str">
        <x:v>sample_count_total</x:v>
      </x:c>
      <x:c r="N1" s="14" t="str">
        <x:v>trigger_count_total</x:v>
      </x:c>
      <x:c r="O1" s="14" t="str">
        <x:v>selected_continuous_cases</x:v>
      </x:c>
      <x:c r="P1" s="14" t="str">
        <x:v>HDR65</x:v>
      </x:c>
      <x:c r="Q1" s="14" t="str">
        <x:v>ODR65</x:v>
      </x:c>
      <x:c r="R1" s="14" t="str">
        <x:v>hdr_reduction_vs_5min</x:v>
      </x:c>
      <x:c r="S1" s="14" t="str">
        <x:v>relative_hdr_reduction_vs_5min</x:v>
      </x:c>
      <x:c r="T1" s="14" t="str">
        <x:v>extra_measurements_per_hour</x:v>
      </x:c>
      <x:c r="U1" s="14" t="str">
        <x:v>cost_domain</x:v>
      </x:c>
      <x:c r="V1" s="14" t="str">
        <x:v>extra_cuff_inflations_per_hour</x:v>
      </x:c>
      <x:c r="W1" s="14" t="str">
        <x:v>modality_burden_note</x:v>
      </x:c>
    </x:row>
    <x:row r="2">
      <x:c r="A2" s="8" t="str">
        <x:v>fixed_2_5min</x:v>
      </x:c>
      <x:c r="B2" s="8" t="str">
        <x:v>Fixed every 2.5 min</x:v>
      </x:c>
      <x:c r="C2" s="16" t="n">
        <x:v>55</x:v>
      </x:c>
      <x:c r="D2" s="16" t="n">
        <x:v>2435</x:v>
      </x:c>
      <x:c r="E2" s="18" t="n">
        <x:v>65826.83333333333</x:v>
      </x:c>
      <x:c r="F2" s="18" t="n">
        <x:v>63671.25</x:v>
      </x:c>
      <x:c r="G2" s="18" t="n">
        <x:v>44558.416666666664</x:v>
      </x:c>
      <x:c r="H2" s="18" t="n">
        <x:v>42402.83333333333</x:v>
      </x:c>
      <x:c r="I2" s="18" t="n">
        <x:v>0.67690354237507</x:v>
      </x:c>
      <x:c r="J2" s="18" t="n">
        <x:v>0.6441572712242475</x:v>
      </x:c>
      <x:c r="K2" s="18" t="n">
        <x:v>-0.03274627115082253</x:v>
      </x:c>
      <x:c r="L2" s="18" t="n">
        <x:v>24</x:v>
      </x:c>
      <x:c r="M2" s="16" t="n">
        <x:v>232789</x:v>
      </x:c>
      <x:c r="N2" s="16" t="n">
        <x:v>0</x:v>
      </x:c>
      <x:c r="O2" s="16" t="n">
        <x:v>0</x:v>
      </x:c>
      <x:c r="P2" s="18"/>
      <x:c r="Q2" s="18"/>
      <x:c r="R2" s="18"/>
      <x:c r="S2" s="18"/>
      <x:c r="T2" s="18" t="n">
        <x:v>12</x:v>
      </x:c>
      <x:c r="U2" s="8" t="str">
        <x:v>cuff_cadence</x:v>
      </x:c>
      <x:c r="V2" s="18" t="n">
        <x:v>12</x:v>
      </x:c>
      <x:c r="W2" s="8"/>
    </x:row>
    <x:row r="3">
      <x:c r="A3" s="8" t="str">
        <x:v>fixed_2_5min</x:v>
      </x:c>
      <x:c r="B3" s="8" t="str">
        <x:v>Fixed every 2.5 min</x:v>
      </x:c>
      <x:c r="C3" s="16" t="n">
        <x:v>60</x:v>
      </x:c>
      <x:c r="D3" s="16" t="n">
        <x:v>2435</x:v>
      </x:c>
      <x:c r="E3" s="18" t="n">
        <x:v>120110.5</x:v>
      </x:c>
      <x:c r="F3" s="18" t="n">
        <x:v>117707.5</x:v>
      </x:c>
      <x:c r="G3" s="18" t="n">
        <x:v>71099.41666666666</x:v>
      </x:c>
      <x:c r="H3" s="18" t="n">
        <x:v>68696.41666666666</x:v>
      </x:c>
      <x:c r="I3" s="18" t="n">
        <x:v>0.5919500515497534</x:v>
      </x:c>
      <x:c r="J3" s="18" t="n">
        <x:v>0.5719434742729957</x:v>
      </x:c>
      <x:c r="K3" s="18" t="n">
        <x:v>-0.020006577276757653</x:v>
      </x:c>
      <x:c r="L3" s="18" t="n">
        <x:v>24</x:v>
      </x:c>
      <x:c r="M3" s="16" t="n">
        <x:v>232789</x:v>
      </x:c>
      <x:c r="N3" s="16" t="n">
        <x:v>0</x:v>
      </x:c>
      <x:c r="O3" s="16" t="n">
        <x:v>0</x:v>
      </x:c>
      <x:c r="P3" s="18"/>
      <x:c r="Q3" s="18"/>
      <x:c r="R3" s="18"/>
      <x:c r="S3" s="18"/>
      <x:c r="T3" s="18" t="n">
        <x:v>12</x:v>
      </x:c>
      <x:c r="U3" s="8" t="str">
        <x:v>cuff_cadence</x:v>
      </x:c>
      <x:c r="V3" s="18" t="n">
        <x:v>12</x:v>
      </x:c>
      <x:c r="W3" s="8"/>
    </x:row>
    <x:row r="4">
      <x:c r="A4" s="8" t="str">
        <x:v>fixed_2_5min</x:v>
      </x:c>
      <x:c r="B4" s="8" t="str">
        <x:v>Fixed every 2.5 min</x:v>
      </x:c>
      <x:c r="C4" s="16" t="n">
        <x:v>65</x:v>
      </x:c>
      <x:c r="D4" s="16" t="n">
        <x:v>2435</x:v>
      </x:c>
      <x:c r="E4" s="18" t="n">
        <x:v>262221.8333333333</x:v>
      </x:c>
      <x:c r="F4" s="18" t="n">
        <x:v>259939.5833333333</x:v>
      </x:c>
      <x:c r="G4" s="18" t="n">
        <x:v>122288.33333333333</x:v>
      </x:c>
      <x:c r="H4" s="18" t="n">
        <x:v>120006.08333333333</x:v>
      </x:c>
      <x:c r="I4" s="18" t="n">
        <x:v>0.4663545051867662</x:v>
      </x:c>
      <x:c r="J4" s="18" t="n">
        <x:v>0.4576509965163084</x:v>
      </x:c>
      <x:c r="K4" s="18" t="n">
        <x:v>-0.008703508670457775</x:v>
      </x:c>
      <x:c r="L4" s="18" t="n">
        <x:v>24</x:v>
      </x:c>
      <x:c r="M4" s="16" t="n">
        <x:v>232789</x:v>
      </x:c>
      <x:c r="N4" s="16" t="n">
        <x:v>0</x:v>
      </x:c>
      <x:c r="O4" s="16" t="n">
        <x:v>0</x:v>
      </x:c>
      <x:c r="P4" s="18" t="n">
        <x:v>0.4663545051867662</x:v>
      </x:c>
      <x:c r="Q4" s="18" t="n">
        <x:v>0.4576509965163084</x:v>
      </x:c>
      <x:c r="R4" s="18" t="n">
        <x:v>0.1278094056495423</x:v>
      </x:c>
      <x:c r="S4" s="18" t="n">
        <x:v>0.21510799178234447</x:v>
      </x:c>
      <x:c r="T4" s="18" t="n">
        <x:v>12</x:v>
      </x:c>
      <x:c r="U4" s="8" t="str">
        <x:v>cuff_cadence</x:v>
      </x:c>
      <x:c r="V4" s="18" t="n">
        <x:v>12</x:v>
      </x:c>
      <x:c r="W4" s="8"/>
    </x:row>
    <x:row r="5">
      <x:c r="A5" s="8" t="str">
        <x:v>fixed_3min</x:v>
      </x:c>
      <x:c r="B5" s="8" t="str">
        <x:v>Fixed every 3 min</x:v>
      </x:c>
      <x:c r="C5" s="16" t="n">
        <x:v>55</x:v>
      </x:c>
      <x:c r="D5" s="16" t="n">
        <x:v>2435</x:v>
      </x:c>
      <x:c r="E5" s="18" t="n">
        <x:v>65826.83333333333</x:v>
      </x:c>
      <x:c r="F5" s="18" t="n">
        <x:v>64848.08333333333</x:v>
      </x:c>
      <x:c r="G5" s="18" t="n">
        <x:v>46430.416666666664</x:v>
      </x:c>
      <x:c r="H5" s="18" t="n">
        <x:v>45451.666666666664</x:v>
      </x:c>
      <x:c r="I5" s="18" t="n">
        <x:v>0.7053417932403453</x:v>
      </x:c>
      <x:c r="J5" s="18" t="n">
        <x:v>0.6904732365980438</x:v>
      </x:c>
      <x:c r="K5" s="18" t="n">
        <x:v>-0.014868556642301392</x:v>
      </x:c>
      <x:c r="L5" s="18" t="n">
        <x:v>20</x:v>
      </x:c>
      <x:c r="M5" s="16" t="n">
        <x:v>194264</x:v>
      </x:c>
      <x:c r="N5" s="16" t="n">
        <x:v>0</x:v>
      </x:c>
      <x:c r="O5" s="16" t="n">
        <x:v>0</x:v>
      </x:c>
      <x:c r="P5" s="18"/>
      <x:c r="Q5" s="18"/>
      <x:c r="R5" s="18"/>
      <x:c r="S5" s="18"/>
      <x:c r="T5" s="18" t="n">
        <x:v>8</x:v>
      </x:c>
      <x:c r="U5" s="8" t="str">
        <x:v>cuff_cadence</x:v>
      </x:c>
      <x:c r="V5" s="18" t="n">
        <x:v>8</x:v>
      </x:c>
      <x:c r="W5" s="8"/>
    </x:row>
    <x:row r="6">
      <x:c r="A6" s="8" t="str">
        <x:v>fixed_3min</x:v>
      </x:c>
      <x:c r="B6" s="8" t="str">
        <x:v>Fixed every 3 min</x:v>
      </x:c>
      <x:c r="C6" s="16" t="n">
        <x:v>60</x:v>
      </x:c>
      <x:c r="D6" s="16" t="n">
        <x:v>2435</x:v>
      </x:c>
      <x:c r="E6" s="18" t="n">
        <x:v>120110.5</x:v>
      </x:c>
      <x:c r="F6" s="18" t="n">
        <x:v>118938.33333333333</x:v>
      </x:c>
      <x:c r="G6" s="18" t="n">
        <x:v>74933.58333333333</x:v>
      </x:c>
      <x:c r="H6" s="18" t="n">
        <x:v>73761.41666666666</x:v>
      </x:c>
      <x:c r="I6" s="18" t="n">
        <x:v>0.6238720456024521</x:v>
      </x:c>
      <x:c r="J6" s="18" t="n">
        <x:v>0.6141129765230072</x:v>
      </x:c>
      <x:c r="K6" s="18" t="n">
        <x:v>-0.00975906907944494</x:v>
      </x:c>
      <x:c r="L6" s="18" t="n">
        <x:v>20</x:v>
      </x:c>
      <x:c r="M6" s="16" t="n">
        <x:v>194264</x:v>
      </x:c>
      <x:c r="N6" s="16" t="n">
        <x:v>0</x:v>
      </x:c>
      <x:c r="O6" s="16" t="n">
        <x:v>0</x:v>
      </x:c>
      <x:c r="P6" s="18"/>
      <x:c r="Q6" s="18"/>
      <x:c r="R6" s="18"/>
      <x:c r="S6" s="18"/>
      <x:c r="T6" s="18" t="n">
        <x:v>8</x:v>
      </x:c>
      <x:c r="U6" s="8" t="str">
        <x:v>cuff_cadence</x:v>
      </x:c>
      <x:c r="V6" s="18" t="n">
        <x:v>8</x:v>
      </x:c>
      <x:c r="W6" s="8"/>
    </x:row>
    <x:row r="7">
      <x:c r="A7" s="8" t="str">
        <x:v>fixed_3min</x:v>
      </x:c>
      <x:c r="B7" s="8" t="str">
        <x:v>Fixed every 3 min</x:v>
      </x:c>
      <x:c r="C7" s="16" t="n">
        <x:v>65</x:v>
      </x:c>
      <x:c r="D7" s="16" t="n">
        <x:v>2435</x:v>
      </x:c>
      <x:c r="E7" s="18" t="n">
        <x:v>262221.8333333333</x:v>
      </x:c>
      <x:c r="F7" s="18" t="n">
        <x:v>260323.0833333333</x:v>
      </x:c>
      <x:c r="G7" s="18" t="n">
        <x:v>131129.66666666666</x:v>
      </x:c>
      <x:c r="H7" s="18" t="n">
        <x:v>129230.91666666666</x:v>
      </x:c>
      <x:c r="I7" s="18" t="n">
        <x:v>0.5000715043433327</x:v>
      </x:c>
      <x:c r="J7" s="18" t="n">
        <x:v>0.49283049784184</x:v>
      </x:c>
      <x:c r="K7" s="18" t="n">
        <x:v>-0.007241006501492693</x:v>
      </x:c>
      <x:c r="L7" s="18" t="n">
        <x:v>20</x:v>
      </x:c>
      <x:c r="M7" s="16" t="n">
        <x:v>194264</x:v>
      </x:c>
      <x:c r="N7" s="16" t="n">
        <x:v>0</x:v>
      </x:c>
      <x:c r="O7" s="16" t="n">
        <x:v>0</x:v>
      </x:c>
      <x:c r="P7" s="18" t="n">
        <x:v>0.5000715043433327</x:v>
      </x:c>
      <x:c r="Q7" s="18" t="n">
        <x:v>0.49283049784184</x:v>
      </x:c>
      <x:c r="R7" s="18" t="n">
        <x:v>0.09409240649297579</x:v>
      </x:c>
      <x:c r="S7" s="18" t="n">
        <x:v>0.1583610259339668</x:v>
      </x:c>
      <x:c r="T7" s="18" t="n">
        <x:v>8</x:v>
      </x:c>
      <x:c r="U7" s="8" t="str">
        <x:v>cuff_cadence</x:v>
      </x:c>
      <x:c r="V7" s="18" t="n">
        <x:v>8</x:v>
      </x:c>
      <x:c r="W7" s="8"/>
    </x:row>
    <x:row r="8">
      <x:c r="A8" s="8" t="str">
        <x:v>fixed_5min_reference</x:v>
      </x:c>
      <x:c r="B8" s="8" t="str">
        <x:v>Fixed every 5 min</x:v>
      </x:c>
      <x:c r="C8" s="16" t="n">
        <x:v>55</x:v>
      </x:c>
      <x:c r="D8" s="16" t="n">
        <x:v>2435</x:v>
      </x:c>
      <x:c r="E8" s="18" t="n">
        <x:v>65826.83333333333</x:v>
      </x:c>
      <x:c r="F8" s="18" t="n">
        <x:v>64605.416666666664</x:v>
      </x:c>
      <x:c r="G8" s="18" t="n">
        <x:v>51703.58333333333</x:v>
      </x:c>
      <x:c r="H8" s="18" t="n">
        <x:v>50482.166666666664</x:v>
      </x:c>
      <x:c r="I8" s="18" t="n">
        <x:v>0.78544843668109</x:v>
      </x:c>
      <x:c r="J8" s="18" t="n">
        <x:v>0.7668934401118085</x:v>
      </x:c>
      <x:c r="K8" s="18" t="n">
        <x:v>-0.018554996569281487</x:v>
      </x:c>
      <x:c r="L8" s="18" t="n">
        <x:v>12</x:v>
      </x:c>
      <x:c r="M8" s="16" t="n">
        <x:v>116953</x:v>
      </x:c>
      <x:c r="N8" s="16" t="n">
        <x:v>0</x:v>
      </x:c>
      <x:c r="O8" s="16" t="n">
        <x:v>0</x:v>
      </x:c>
      <x:c r="P8" s="18"/>
      <x:c r="Q8" s="18"/>
      <x:c r="R8" s="18"/>
      <x:c r="S8" s="18"/>
      <x:c r="T8" s="18" t="n">
        <x:v>0</x:v>
      </x:c>
      <x:c r="U8" s="8" t="str">
        <x:v>cuff_cadence</x:v>
      </x:c>
      <x:c r="V8" s="18" t="n">
        <x:v>0</x:v>
      </x:c>
      <x:c r="W8" s="8"/>
    </x:row>
    <x:row r="9">
      <x:c r="A9" s="8" t="str">
        <x:v>fixed_5min_reference</x:v>
      </x:c>
      <x:c r="B9" s="8" t="str">
        <x:v>Fixed every 5 min</x:v>
      </x:c>
      <x:c r="C9" s="16" t="n">
        <x:v>60</x:v>
      </x:c>
      <x:c r="D9" s="16" t="n">
        <x:v>2435</x:v>
      </x:c>
      <x:c r="E9" s="18" t="n">
        <x:v>120110.5</x:v>
      </x:c>
      <x:c r="F9" s="18" t="n">
        <x:v>118322.33333333333</x:v>
      </x:c>
      <x:c r="G9" s="18" t="n">
        <x:v>85546.24999999999</x:v>
      </x:c>
      <x:c r="H9" s="18" t="n">
        <x:v>83758.08333333333</x:v>
      </x:c>
      <x:c r="I9" s="18" t="n">
        <x:v>0.7122295719358422</x:v>
      </x:c>
      <x:c r="J9" s="18" t="n">
        <x:v>0.6973418921187851</x:v>
      </x:c>
      <x:c r="K9" s="18" t="n">
        <x:v>-0.014887679817057268</x:v>
      </x:c>
      <x:c r="L9" s="18" t="n">
        <x:v>12</x:v>
      </x:c>
      <x:c r="M9" s="16" t="n">
        <x:v>116953</x:v>
      </x:c>
      <x:c r="N9" s="16" t="n">
        <x:v>0</x:v>
      </x:c>
      <x:c r="O9" s="16" t="n">
        <x:v>0</x:v>
      </x:c>
      <x:c r="P9" s="18"/>
      <x:c r="Q9" s="18"/>
      <x:c r="R9" s="18"/>
      <x:c r="S9" s="18"/>
      <x:c r="T9" s="18" t="n">
        <x:v>0</x:v>
      </x:c>
      <x:c r="U9" s="8" t="str">
        <x:v>cuff_cadence</x:v>
      </x:c>
      <x:c r="V9" s="18" t="n">
        <x:v>0</x:v>
      </x:c>
      <x:c r="W9" s="8"/>
    </x:row>
    <x:row r="10">
      <x:c r="A10" s="8" t="str">
        <x:v>fixed_5min_reference</x:v>
      </x:c>
      <x:c r="B10" s="8" t="str">
        <x:v>Fixed every 5 min</x:v>
      </x:c>
      <x:c r="C10" s="16" t="n">
        <x:v>65</x:v>
      </x:c>
      <x:c r="D10" s="16" t="n">
        <x:v>2435</x:v>
      </x:c>
      <x:c r="E10" s="18" t="n">
        <x:v>262221.8333333333</x:v>
      </x:c>
      <x:c r="F10" s="18" t="n">
        <x:v>259725.66666666666</x:v>
      </x:c>
      <x:c r="G10" s="18" t="n">
        <x:v>155802.75</x:v>
      </x:c>
      <x:c r="H10" s="18" t="n">
        <x:v>153306.58333333334</x:v>
      </x:c>
      <x:c r="I10" s="18" t="n">
        <x:v>0.5941639108363085</x:v>
      </x:c>
      <x:c r="J10" s="18" t="n">
        <x:v>0.5846446170576949</x:v>
      </x:c>
      <x:c r="K10" s="18" t="n">
        <x:v>-0.009519293778613618</x:v>
      </x:c>
      <x:c r="L10" s="18" t="n">
        <x:v>12</x:v>
      </x:c>
      <x:c r="M10" s="16" t="n">
        <x:v>116953</x:v>
      </x:c>
      <x:c r="N10" s="16" t="n">
        <x:v>0</x:v>
      </x:c>
      <x:c r="O10" s="16" t="n">
        <x:v>0</x:v>
      </x:c>
      <x:c r="P10" s="18" t="n">
        <x:v>0.5941639108363085</x:v>
      </x:c>
      <x:c r="Q10" s="18" t="n">
        <x:v>0.5846446170576949</x:v>
      </x:c>
      <x:c r="R10" s="18" t="n">
        <x:v>0</x:v>
      </x:c>
      <x:c r="S10" s="18" t="n">
        <x:v>0</x:v>
      </x:c>
      <x:c r="T10" s="18" t="n">
        <x:v>0</x:v>
      </x:c>
      <x:c r="U10" s="8" t="str">
        <x:v>cuff_cadence</x:v>
      </x:c>
      <x:c r="V10" s="18" t="n">
        <x:v>0</x:v>
      </x:c>
      <x:c r="W10" s="8"/>
    </x:row>
    <x:row r="11">
      <x:c r="A11" s="8" t="str">
        <x:v>induction_intensified_first20min</x:v>
      </x:c>
      <x:c r="B11" s="8" t="str">
        <x:v>1-min sampling for first 20 min, then 5-min</x:v>
      </x:c>
      <x:c r="C11" s="16" t="n">
        <x:v>55</x:v>
      </x:c>
      <x:c r="D11" s="16" t="n">
        <x:v>2435</x:v>
      </x:c>
      <x:c r="E11" s="18" t="n">
        <x:v>65826.83333333333</x:v>
      </x:c>
      <x:c r="F11" s="18" t="n">
        <x:v>67935.58333333333</x:v>
      </x:c>
      <x:c r="G11" s="18" t="n">
        <x:v>41155.5</x:v>
      </x:c>
      <x:c r="H11" s="18" t="n">
        <x:v>43264.25</x:v>
      </x:c>
      <x:c r="I11" s="18" t="n">
        <x:v>0.625208564896281</x:v>
      </x:c>
      <x:c r="J11" s="18" t="n">
        <x:v>0.6572433733963607</x:v>
      </x:c>
      <x:c r="K11" s="18" t="n">
        <x:v>0.03203480850007976</x:v>
      </x:c>
      <x:c r="L11" s="18" t="n">
        <x:v>16.95111477605436</x:v>
      </x:c>
      <x:c r="M11" s="16" t="n">
        <x:v>155913</x:v>
      </x:c>
      <x:c r="N11" s="16" t="n">
        <x:v>0</x:v>
      </x:c>
      <x:c r="O11" s="16" t="n">
        <x:v>0</x:v>
      </x:c>
      <x:c r="P11" s="18"/>
      <x:c r="Q11" s="18"/>
      <x:c r="R11" s="18"/>
      <x:c r="S11" s="18"/>
      <x:c r="T11" s="18" t="n">
        <x:v>4.951114776054361</x:v>
      </x:c>
      <x:c r="U11" s="8" t="str">
        <x:v>cuff_cadence</x:v>
      </x:c>
      <x:c r="V11" s="18" t="n">
        <x:v>4.951114776054361</x:v>
      </x:c>
      <x:c r="W11" s="8"/>
    </x:row>
    <x:row r="12">
      <x:c r="A12" s="8" t="str">
        <x:v>induction_intensified_first20min</x:v>
      </x:c>
      <x:c r="B12" s="8" t="str">
        <x:v>1-min sampling for first 20 min, then 5-min</x:v>
      </x:c>
      <x:c r="C12" s="16" t="n">
        <x:v>60</x:v>
      </x:c>
      <x:c r="D12" s="16" t="n">
        <x:v>2435</x:v>
      </x:c>
      <x:c r="E12" s="18" t="n">
        <x:v>120110.5</x:v>
      </x:c>
      <x:c r="F12" s="18" t="n">
        <x:v>123297.33333333333</x:v>
      </x:c>
      <x:c r="G12" s="18" t="n">
        <x:v>70507.41666666666</x:v>
      </x:c>
      <x:c r="H12" s="18" t="n">
        <x:v>73694.25</x:v>
      </x:c>
      <x:c r="I12" s="18" t="n">
        <x:v>0.5870212568149051</x:v>
      </x:c>
      <x:c r="J12" s="18" t="n">
        <x:v>0.6135537692374938</x:v>
      </x:c>
      <x:c r="K12" s="18" t="n">
        <x:v>0.026532512422588726</x:v>
      </x:c>
      <x:c r="L12" s="18" t="n">
        <x:v>16.95111477605436</x:v>
      </x:c>
      <x:c r="M12" s="16" t="n">
        <x:v>155913</x:v>
      </x:c>
      <x:c r="N12" s="16" t="n">
        <x:v>0</x:v>
      </x:c>
      <x:c r="O12" s="16" t="n">
        <x:v>0</x:v>
      </x:c>
      <x:c r="P12" s="18"/>
      <x:c r="Q12" s="18"/>
      <x:c r="R12" s="18"/>
      <x:c r="S12" s="18"/>
      <x:c r="T12" s="18" t="n">
        <x:v>4.951114776054361</x:v>
      </x:c>
      <x:c r="U12" s="8" t="str">
        <x:v>cuff_cadence</x:v>
      </x:c>
      <x:c r="V12" s="18" t="n">
        <x:v>4.951114776054361</x:v>
      </x:c>
      <x:c r="W12" s="8"/>
    </x:row>
    <x:row r="13">
      <x:c r="A13" s="8" t="str">
        <x:v>induction_intensified_first20min</x:v>
      </x:c>
      <x:c r="B13" s="8" t="str">
        <x:v>1-min sampling for first 20 min, then 5-min</x:v>
      </x:c>
      <x:c r="C13" s="16" t="n">
        <x:v>65</x:v>
      </x:c>
      <x:c r="D13" s="16" t="n">
        <x:v>2435</x:v>
      </x:c>
      <x:c r="E13" s="18" t="n">
        <x:v>262221.8333333333</x:v>
      </x:c>
      <x:c r="F13" s="18" t="n">
        <x:v>267720.4166666666</x:v>
      </x:c>
      <x:c r="G13" s="18" t="n">
        <x:v>133556.5</x:v>
      </x:c>
      <x:c r="H13" s="18" t="n">
        <x:v>139055.0833333333</x:v>
      </x:c>
      <x:c r="I13" s="18" t="n">
        <x:v>0.5093263909501561</x:v>
      </x:c>
      <x:c r="J13" s="18" t="n">
        <x:v>0.5302955957773666</x:v>
      </x:c>
      <x:c r="K13" s="18" t="n">
        <x:v>0.020969204827210475</x:v>
      </x:c>
      <x:c r="L13" s="18" t="n">
        <x:v>16.95111477605436</x:v>
      </x:c>
      <x:c r="M13" s="16" t="n">
        <x:v>155913</x:v>
      </x:c>
      <x:c r="N13" s="16" t="n">
        <x:v>0</x:v>
      </x:c>
      <x:c r="O13" s="16" t="n">
        <x:v>0</x:v>
      </x:c>
      <x:c r="P13" s="18" t="n">
        <x:v>0.5093263909501561</x:v>
      </x:c>
      <x:c r="Q13" s="18" t="n">
        <x:v>0.5302955957773666</x:v>
      </x:c>
      <x:c r="R13" s="18" t="n">
        <x:v>0.0848375198861524</x:v>
      </x:c>
      <x:c r="S13" s="18" t="n">
        <x:v>0.14278470694515985</x:v>
      </x:c>
      <x:c r="T13" s="18" t="n">
        <x:v>4.951114776054361</x:v>
      </x:c>
      <x:c r="U13" s="8" t="str">
        <x:v>cuff_cadence</x:v>
      </x:c>
      <x:c r="V13" s="18" t="n">
        <x:v>4.951114776054361</x:v>
      </x:c>
      <x:c r="W13" s="8"/>
    </x:row>
    <x:row r="14">
      <x:c r="A14" s="8" t="str">
        <x:v>selective_continuous_top20_oof</x:v>
      </x:c>
      <x:c r="B14" s="8" t="str">
        <x:v>OOF high-hidden-risk top 20 percent continuous reference, others 5-min</x:v>
      </x:c>
      <x:c r="C14" s="16" t="n">
        <x:v>55</x:v>
      </x:c>
      <x:c r="D14" s="16" t="n">
        <x:v>2435</x:v>
      </x:c>
      <x:c r="E14" s="18" t="n">
        <x:v>65826.83333333333</x:v>
      </x:c>
      <x:c r="F14" s="18" t="n">
        <x:v>65585.33333333333</x:v>
      </x:c>
      <x:c r="G14" s="18" t="n">
        <x:v>36379.58333333333</x:v>
      </x:c>
      <x:c r="H14" s="18" t="n">
        <x:v>36138.08333333333</x:v>
      </x:c>
      <x:c r="I14" s="18" t="n">
        <x:v>0.5526558318416248</x:v>
      </x:c>
      <x:c r="J14" s="18" t="n">
        <x:v>0.5489871151835244</x:v>
      </x:c>
      <x:c r="K14" s="18" t="n">
        <x:v>-0.0036687166581004203</x:v>
      </x:c>
      <x:c r="L14" s="18" t="n">
        <x:v>12</x:v>
      </x:c>
      <x:c r="M14" s="16" t="n">
        <x:v>1175731</x:v>
      </x:c>
      <x:c r="N14" s="16" t="n">
        <x:v>0</x:v>
      </x:c>
      <x:c r="O14" s="16" t="n">
        <x:v>487</x:v>
      </x:c>
      <x:c r="P14" s="18"/>
      <x:c r="Q14" s="18"/>
      <x:c r="R14" s="18"/>
      <x:c r="S14" s="18"/>
      <x:c r="T14" s="18" t="n">
        <x:v>0</x:v>
      </x:c>
      <x:c r="U14" s="8" t="str">
        <x:v>modality_change</x:v>
      </x:c>
      <x:c r="V14" s="18"/>
      <x:c r="W14" s="8" t="str">
        <x:v>Continuous/reference monitoring changes device/staffing/insertion burden; not comparable as zero-cost cuff cadence.</x:v>
      </x:c>
    </x:row>
    <x:row r="15">
      <x:c r="A15" s="8" t="str">
        <x:v>selective_continuous_top20_oof</x:v>
      </x:c>
      <x:c r="B15" s="8" t="str">
        <x:v>OOF high-hidden-risk top 20 percent continuous reference, others 5-min</x:v>
      </x:c>
      <x:c r="C15" s="16" t="n">
        <x:v>60</x:v>
      </x:c>
      <x:c r="D15" s="16" t="n">
        <x:v>2435</x:v>
      </x:c>
      <x:c r="E15" s="18" t="n">
        <x:v>120110.5</x:v>
      </x:c>
      <x:c r="F15" s="18" t="n">
        <x:v>119891.5</x:v>
      </x:c>
      <x:c r="G15" s="18" t="n">
        <x:v>58260.166666666664</x:v>
      </x:c>
      <x:c r="H15" s="18" t="n">
        <x:v>58041.16666666666</x:v>
      </x:c>
      <x:c r="I15" s="18" t="n">
        <x:v>0.4850547343210349</x:v>
      </x:c>
      <x:c r="J15" s="18" t="n">
        <x:v>0.48323141329581226</x:v>
      </x:c>
      <x:c r="K15" s="18" t="n">
        <x:v>-0.001823321025222668</x:v>
      </x:c>
      <x:c r="L15" s="18" t="n">
        <x:v>12</x:v>
      </x:c>
      <x:c r="M15" s="16" t="n">
        <x:v>1175731</x:v>
      </x:c>
      <x:c r="N15" s="16" t="n">
        <x:v>0</x:v>
      </x:c>
      <x:c r="O15" s="16" t="n">
        <x:v>487</x:v>
      </x:c>
      <x:c r="P15" s="18"/>
      <x:c r="Q15" s="18"/>
      <x:c r="R15" s="18"/>
      <x:c r="S15" s="18"/>
      <x:c r="T15" s="18" t="n">
        <x:v>0</x:v>
      </x:c>
      <x:c r="U15" s="8" t="str">
        <x:v>modality_change</x:v>
      </x:c>
      <x:c r="V15" s="18"/>
      <x:c r="W15" s="8" t="str">
        <x:v>Continuous/reference monitoring changes device/staffing/insertion burden; not comparable as zero-cost cuff cadence.</x:v>
      </x:c>
    </x:row>
    <x:row r="16">
      <x:c r="A16" s="8" t="str">
        <x:v>selective_continuous_top20_oof</x:v>
      </x:c>
      <x:c r="B16" s="8" t="str">
        <x:v>OOF high-hidden-risk top 20 percent continuous reference, others 5-min</x:v>
      </x:c>
      <x:c r="C16" s="16" t="n">
        <x:v>65</x:v>
      </x:c>
      <x:c r="D16" s="16" t="n">
        <x:v>2435</x:v>
      </x:c>
      <x:c r="E16" s="18" t="n">
        <x:v>262221.8333333333</x:v>
      </x:c>
      <x:c r="F16" s="18" t="n">
        <x:v>262448.1666666666</x:v>
      </x:c>
      <x:c r="G16" s="18" t="n">
        <x:v>103189.5</x:v>
      </x:c>
      <x:c r="H16" s="18" t="n">
        <x:v>103415.83333333333</x:v>
      </x:c>
      <x:c r="I16" s="18" t="n">
        <x:v>0.3935198632709837</x:v>
      </x:c>
      <x:c r="J16" s="18" t="n">
        <x:v>0.3943830001442799</x:v>
      </x:c>
      <x:c r="K16" s="18" t="n">
        <x:v>0.000863136873296192</x:v>
      </x:c>
      <x:c r="L16" s="18" t="n">
        <x:v>12</x:v>
      </x:c>
      <x:c r="M16" s="16" t="n">
        <x:v>1175731</x:v>
      </x:c>
      <x:c r="N16" s="16" t="n">
        <x:v>0</x:v>
      </x:c>
      <x:c r="O16" s="16" t="n">
        <x:v>487</x:v>
      </x:c>
      <x:c r="P16" s="18" t="n">
        <x:v>0.3935198632709837</x:v>
      </x:c>
      <x:c r="Q16" s="18" t="n">
        <x:v>0.3943830001442799</x:v>
      </x:c>
      <x:c r="R16" s="18" t="n">
        <x:v>0.20064404756532478</x:v>
      </x:c>
      <x:c r="S16" s="18" t="n">
        <x:v>0.33769140788593266</x:v>
      </x:c>
      <x:c r="T16" s="18" t="n">
        <x:v>0</x:v>
      </x:c>
      <x:c r="U16" s="8" t="str">
        <x:v>modality_change</x:v>
      </x:c>
      <x:c r="V16" s="18"/>
      <x:c r="W16" s="8" t="str">
        <x:v>Continuous/reference monitoring changes device/staffing/insertion burden; not comparable as zero-cost cuff cadence.</x:v>
      </x:c>
    </x:row>
    <x:row r="17">
      <x:c r="A17" s="8" t="str">
        <x:v>threshold_triggered_adaptive</x:v>
      </x:c>
      <x:c r="B17" s="8" t="str">
        <x:v>Rule-based 1-min escalation after displayed MAP &lt;70</x:v>
      </x:c>
      <x:c r="C17" s="16" t="n">
        <x:v>55</x:v>
      </x:c>
      <x:c r="D17" s="16" t="n">
        <x:v>2435</x:v>
      </x:c>
      <x:c r="E17" s="18" t="n">
        <x:v>65826.83333333333</x:v>
      </x:c>
      <x:c r="F17" s="18" t="n">
        <x:v>33672.666666666664</x:v>
      </x:c>
      <x:c r="G17" s="18" t="n">
        <x:v>46250</x:v>
      </x:c>
      <x:c r="H17" s="18" t="n">
        <x:v>14095.833333333332</x:v>
      </x:c>
      <x:c r="I17" s="18" t="n">
        <x:v>0.7026010163028755</x:v>
      </x:c>
      <x:c r="J17" s="18" t="n">
        <x:v>0.21413506650023673</x:v>
      </x:c>
      <x:c r="K17" s="18" t="n">
        <x:v>-0.4884659498026388</x:v>
      </x:c>
      <x:c r="L17" s="18" t="n">
        <x:v>20.81970167278465</x:v>
      </x:c>
      <x:c r="M17" s="16" t="n">
        <x:v>202242</x:v>
      </x:c>
      <x:c r="N17" s="16" t="n">
        <x:v>65982</x:v>
      </x:c>
      <x:c r="O17" s="16" t="n">
        <x:v>0</x:v>
      </x:c>
      <x:c r="P17" s="18"/>
      <x:c r="Q17" s="18"/>
      <x:c r="R17" s="18"/>
      <x:c r="S17" s="18"/>
      <x:c r="T17" s="18" t="n">
        <x:v>8.81970167278465</x:v>
      </x:c>
      <x:c r="U17" s="8" t="str">
        <x:v>cuff_cadence</x:v>
      </x:c>
      <x:c r="V17" s="18" t="n">
        <x:v>8.81970167278465</x:v>
      </x:c>
      <x:c r="W17" s="8"/>
    </x:row>
    <x:row r="18">
      <x:c r="A18" s="8" t="str">
        <x:v>threshold_triggered_adaptive</x:v>
      </x:c>
      <x:c r="B18" s="8" t="str">
        <x:v>Rule-based 1-min escalation after displayed MAP &lt;70</x:v>
      </x:c>
      <x:c r="C18" s="16" t="n">
        <x:v>60</x:v>
      </x:c>
      <x:c r="D18" s="16" t="n">
        <x:v>2435</x:v>
      </x:c>
      <x:c r="E18" s="18" t="n">
        <x:v>120110.5</x:v>
      </x:c>
      <x:c r="F18" s="18" t="n">
        <x:v>75074.58333333333</x:v>
      </x:c>
      <x:c r="G18" s="18" t="n">
        <x:v>70050.66666666666</x:v>
      </x:c>
      <x:c r="H18" s="18" t="n">
        <x:v>25014.75</x:v>
      </x:c>
      <x:c r="I18" s="18" t="n">
        <x:v>0.5832185085123004</x:v>
      </x:c>
      <x:c r="J18" s="18" t="n">
        <x:v>0.2082644731309919</x:v>
      </x:c>
      <x:c r="K18" s="18" t="n">
        <x:v>-0.3749540353813085</x:v>
      </x:c>
      <x:c r="L18" s="18" t="n">
        <x:v>20.81970167278465</x:v>
      </x:c>
      <x:c r="M18" s="16" t="n">
        <x:v>202242</x:v>
      </x:c>
      <x:c r="N18" s="16" t="n">
        <x:v>65982</x:v>
      </x:c>
      <x:c r="O18" s="16" t="n">
        <x:v>0</x:v>
      </x:c>
      <x:c r="P18" s="18"/>
      <x:c r="Q18" s="18"/>
      <x:c r="R18" s="18"/>
      <x:c r="S18" s="18"/>
      <x:c r="T18" s="18" t="n">
        <x:v>8.81970167278465</x:v>
      </x:c>
      <x:c r="U18" s="8" t="str">
        <x:v>cuff_cadence</x:v>
      </x:c>
      <x:c r="V18" s="18" t="n">
        <x:v>8.81970167278465</x:v>
      </x:c>
      <x:c r="W18" s="8"/>
    </x:row>
    <x:row r="19">
      <x:c r="A19" s="8" t="str">
        <x:v>threshold_triggered_adaptive</x:v>
      </x:c>
      <x:c r="B19" s="8" t="str">
        <x:v>Rule-based 1-min escalation after displayed MAP &lt;70</x:v>
      </x:c>
      <x:c r="C19" s="16" t="n">
        <x:v>65</x:v>
      </x:c>
      <x:c r="D19" s="16" t="n">
        <x:v>2435</x:v>
      </x:c>
      <x:c r="E19" s="18" t="n">
        <x:v>262221.8333333333</x:v>
      </x:c>
      <x:c r="F19" s="18" t="n">
        <x:v>191500.41666666666</x:v>
      </x:c>
      <x:c r="G19" s="18" t="n">
        <x:v>117483.91666666666</x:v>
      </x:c>
      <x:c r="H19" s="18" t="n">
        <x:v>46762.5</x:v>
      </x:c>
      <x:c r="I19" s="18" t="n">
        <x:v>0.44803255004827336</x:v>
      </x:c>
      <x:c r="J19" s="18" t="n">
        <x:v>0.17833183227178517</x:v>
      </x:c>
      <x:c r="K19" s="18" t="n">
        <x:v>-0.2697007177764882</x:v>
      </x:c>
      <x:c r="L19" s="18" t="n">
        <x:v>20.81970167278465</x:v>
      </x:c>
      <x:c r="M19" s="16" t="n">
        <x:v>202242</x:v>
      </x:c>
      <x:c r="N19" s="16" t="n">
        <x:v>65982</x:v>
      </x:c>
      <x:c r="O19" s="16" t="n">
        <x:v>0</x:v>
      </x:c>
      <x:c r="P19" s="18" t="n">
        <x:v>0.44803255004827336</x:v>
      </x:c>
      <x:c r="Q19" s="18" t="n">
        <x:v>0.17833183227178517</x:v>
      </x:c>
      <x:c r="R19" s="18" t="n">
        <x:v>0.14613136078803513</x:v>
      </x:c>
      <x:c r="S19" s="18" t="n">
        <x:v>0.24594452494152605</x:v>
      </x:c>
      <x:c r="T19" s="18" t="n">
        <x:v>8.81970167278465</x:v>
      </x:c>
      <x:c r="U19" s="8" t="str">
        <x:v>cuff_cadence</x:v>
      </x:c>
      <x:c r="V19" s="18" t="n">
        <x:v>8.81970167278465</x:v>
      </x:c>
      <x:c r="W19" s="8"/>
    </x:row>
    <x:row r="20">
      <x:c r="A20" s="8" t="str">
        <x:v>trend_triggered_adaptive</x:v>
      </x:c>
      <x:c r="B20" s="8" t="str">
        <x:v>Rule-based 1-min escalation after a &gt;=8-mm Hg fall or MAP &lt;75</x:v>
      </x:c>
      <x:c r="C20" s="16" t="n">
        <x:v>55</x:v>
      </x:c>
      <x:c r="D20" s="16" t="n">
        <x:v>2435</x:v>
      </x:c>
      <x:c r="E20" s="18" t="n">
        <x:v>65826.83333333333</x:v>
      </x:c>
      <x:c r="F20" s="18" t="n">
        <x:v>39653.416666666664</x:v>
      </x:c>
      <x:c r="G20" s="18" t="n">
        <x:v>44410.75</x:v>
      </x:c>
      <x:c r="H20" s="18" t="n">
        <x:v>18237.333333333336</x:v>
      </x:c>
      <x:c r="I20" s="18" t="n">
        <x:v>0.6746602829140093</x:v>
      </x:c>
      <x:c r="J20" s="18" t="n">
        <x:v>0.27705013912766074</x:v>
      </x:c>
      <x:c r="K20" s="18" t="n">
        <x:v>-0.3976101437863485</x:v>
      </x:c>
      <x:c r="L20" s="18" t="n">
        <x:v>27.88529822636406</x:v>
      </x:c>
      <x:c r="M20" s="16" t="n">
        <x:v>271759</x:v>
      </x:c>
      <x:c r="N20" s="16" t="n">
        <x:v>141414</x:v>
      </x:c>
      <x:c r="O20" s="16" t="n">
        <x:v>0</x:v>
      </x:c>
      <x:c r="P20" s="18"/>
      <x:c r="Q20" s="18"/>
      <x:c r="R20" s="18"/>
      <x:c r="S20" s="18"/>
      <x:c r="T20" s="18" t="n">
        <x:v>15.88529822636406</x:v>
      </x:c>
      <x:c r="U20" s="8" t="str">
        <x:v>cuff_cadence</x:v>
      </x:c>
      <x:c r="V20" s="18" t="n">
        <x:v>15.88529822636406</x:v>
      </x:c>
      <x:c r="W20" s="8"/>
    </x:row>
    <x:row r="21">
      <x:c r="A21" s="8" t="str">
        <x:v>trend_triggered_adaptive</x:v>
      </x:c>
      <x:c r="B21" s="8" t="str">
        <x:v>Rule-based 1-min escalation after a &gt;=8-mm Hg fall or MAP &lt;75</x:v>
      </x:c>
      <x:c r="C21" s="16" t="n">
        <x:v>60</x:v>
      </x:c>
      <x:c r="D21" s="16" t="n">
        <x:v>2435</x:v>
      </x:c>
      <x:c r="E21" s="18" t="n">
        <x:v>120110.5</x:v>
      </x:c>
      <x:c r="F21" s="18" t="n">
        <x:v>84649.91666666667</x:v>
      </x:c>
      <x:c r="G21" s="18" t="n">
        <x:v>66179.41666666666</x:v>
      </x:c>
      <x:c r="H21" s="18" t="n">
        <x:v>30718.83333333333</x:v>
      </x:c>
      <x:c r="I21" s="18" t="n">
        <x:v>0.5509877709831086</x:v>
      </x:c>
      <x:c r="J21" s="18" t="n">
        <x:v>0.2557547702601632</x:v>
      </x:c>
      <x:c r="K21" s="18" t="n">
        <x:v>-0.29523300072294534</x:v>
      </x:c>
      <x:c r="L21" s="18" t="n">
        <x:v>27.88529822636406</x:v>
      </x:c>
      <x:c r="M21" s="16" t="n">
        <x:v>271759</x:v>
      </x:c>
      <x:c r="N21" s="16" t="n">
        <x:v>141414</x:v>
      </x:c>
      <x:c r="O21" s="16" t="n">
        <x:v>0</x:v>
      </x:c>
      <x:c r="P21" s="18"/>
      <x:c r="Q21" s="18"/>
      <x:c r="R21" s="18"/>
      <x:c r="S21" s="18"/>
      <x:c r="T21" s="18" t="n">
        <x:v>15.88529822636406</x:v>
      </x:c>
      <x:c r="U21" s="8" t="str">
        <x:v>cuff_cadence</x:v>
      </x:c>
      <x:c r="V21" s="18" t="n">
        <x:v>15.88529822636406</x:v>
      </x:c>
      <x:c r="W21" s="8"/>
    </x:row>
    <x:row r="22">
      <x:c r="A22" s="8" t="str">
        <x:v>trend_triggered_adaptive</x:v>
      </x:c>
      <x:c r="B22" s="8" t="str">
        <x:v>Rule-based 1-min escalation after a &gt;=8-mm Hg fall or MAP &lt;75</x:v>
      </x:c>
      <x:c r="C22" s="16" t="n">
        <x:v>65</x:v>
      </x:c>
      <x:c r="D22" s="16" t="n">
        <x:v>2435</x:v>
      </x:c>
      <x:c r="E22" s="18" t="n">
        <x:v>262221.8333333333</x:v>
      </x:c>
      <x:c r="F22" s="18" t="n">
        <x:v>211240.91666666666</x:v>
      </x:c>
      <x:c r="G22" s="18" t="n">
        <x:v>106251.33333333334</x:v>
      </x:c>
      <x:c r="H22" s="18" t="n">
        <x:v>55270.416666666664</x:v>
      </x:c>
      <x:c r="I22" s="18" t="n">
        <x:v>0.40519636363867495</x:v>
      </x:c>
      <x:c r="J22" s="18" t="n">
        <x:v>0.21077732530535534</x:v>
      </x:c>
      <x:c r="K22" s="18" t="n">
        <x:v>-0.1944190383333196</x:v>
      </x:c>
      <x:c r="L22" s="18" t="n">
        <x:v>27.88529822636406</x:v>
      </x:c>
      <x:c r="M22" s="16" t="n">
        <x:v>271759</x:v>
      </x:c>
      <x:c r="N22" s="16" t="n">
        <x:v>141414</x:v>
      </x:c>
      <x:c r="O22" s="16" t="n">
        <x:v>0</x:v>
      </x:c>
      <x:c r="P22" s="18" t="n">
        <x:v>0.40519636363867495</x:v>
      </x:c>
      <x:c r="Q22" s="18" t="n">
        <x:v>0.21077732530535534</x:v>
      </x:c>
      <x:c r="R22" s="18" t="n">
        <x:v>0.18896754719763353</x:v>
      </x:c>
      <x:c r="S22" s="18" t="n">
        <x:v>0.3180394227102324</x:v>
      </x:c>
      <x:c r="T22" s="18" t="n">
        <x:v>15.88529822636406</x:v>
      </x:c>
      <x:c r="U22" s="8" t="str">
        <x:v>cuff_cadence</x:v>
      </x:c>
      <x:c r="V22" s="18" t="n">
        <x:v>15.88529822636406</x:v>
      </x:c>
      <x:c r="W22" s="8"/>
    </x:row>
    <x:row r="23">
      <x:c r="A23" s="8" t="str">
        <x:v>universal_1min_proxy</x:v>
      </x:c>
      <x:c r="B23" s="8" t="str">
        <x:v>Fixed every 1 min proxy</x:v>
      </x:c>
      <x:c r="C23" s="16" t="n">
        <x:v>55</x:v>
      </x:c>
      <x:c r="D23" s="16" t="n">
        <x:v>2435</x:v>
      </x:c>
      <x:c r="E23" s="18" t="n">
        <x:v>65826.83333333333</x:v>
      </x:c>
      <x:c r="F23" s="18" t="n">
        <x:v>63081.08333333333</x:v>
      </x:c>
      <x:c r="G23" s="18" t="n">
        <x:v>32142.916666666664</x:v>
      </x:c>
      <x:c r="H23" s="18" t="n">
        <x:v>29397.166666666664</x:v>
      </x:c>
      <x:c r="I23" s="18" t="n">
        <x:v>0.48829504685272723</x:v>
      </x:c>
      <x:c r="J23" s="18" t="n">
        <x:v>0.4465833335443246</x:v>
      </x:c>
      <x:c r="K23" s="18" t="n">
        <x:v>-0.041711713308402606</x:v>
      </x:c>
      <x:c r="L23" s="18" t="n">
        <x:v>60</x:v>
      </x:c>
      <x:c r="M23" s="16" t="n">
        <x:v>580271</x:v>
      </x:c>
      <x:c r="N23" s="16" t="n">
        <x:v>0</x:v>
      </x:c>
      <x:c r="O23" s="16" t="n">
        <x:v>0</x:v>
      </x:c>
      <x:c r="P23" s="18"/>
      <x:c r="Q23" s="18"/>
      <x:c r="R23" s="18"/>
      <x:c r="S23" s="18"/>
      <x:c r="T23" s="18" t="n">
        <x:v>48</x:v>
      </x:c>
      <x:c r="U23" s="8" t="str">
        <x:v>cuff_cadence</x:v>
      </x:c>
      <x:c r="V23" s="18" t="n">
        <x:v>48</x:v>
      </x:c>
      <x:c r="W23" s="8"/>
    </x:row>
    <x:row r="24">
      <x:c r="A24" s="8" t="str">
        <x:v>universal_1min_proxy</x:v>
      </x:c>
      <x:c r="B24" s="8" t="str">
        <x:v>Fixed every 1 min proxy</x:v>
      </x:c>
      <x:c r="C24" s="16" t="n">
        <x:v>60</x:v>
      </x:c>
      <x:c r="D24" s="16" t="n">
        <x:v>2435</x:v>
      </x:c>
      <x:c r="E24" s="18" t="n">
        <x:v>120110.5</x:v>
      </x:c>
      <x:c r="F24" s="18" t="n">
        <x:v>117077.83333333333</x:v>
      </x:c>
      <x:c r="G24" s="18" t="n">
        <x:v>48780.666666666664</x:v>
      </x:c>
      <x:c r="H24" s="18" t="n">
        <x:v>45748</x:v>
      </x:c>
      <x:c r="I24" s="18" t="n">
        <x:v>0.40613157606259787</x:v>
      </x:c>
      <x:c r="J24" s="18" t="n">
        <x:v>0.3808826039355427</x:v>
      </x:c>
      <x:c r="K24" s="18" t="n">
        <x:v>-0.025248972127055205</x:v>
      </x:c>
      <x:c r="L24" s="18" t="n">
        <x:v>60</x:v>
      </x:c>
      <x:c r="M24" s="16" t="n">
        <x:v>580271</x:v>
      </x:c>
      <x:c r="N24" s="16" t="n">
        <x:v>0</x:v>
      </x:c>
      <x:c r="O24" s="16" t="n">
        <x:v>0</x:v>
      </x:c>
      <x:c r="P24" s="18"/>
      <x:c r="Q24" s="18"/>
      <x:c r="R24" s="18"/>
      <x:c r="S24" s="18"/>
      <x:c r="T24" s="18" t="n">
        <x:v>48</x:v>
      </x:c>
      <x:c r="U24" s="8" t="str">
        <x:v>cuff_cadence</x:v>
      </x:c>
      <x:c r="V24" s="18" t="n">
        <x:v>48</x:v>
      </x:c>
      <x:c r="W24" s="8"/>
    </x:row>
    <x:row r="25">
      <x:c r="A25" s="8" t="str">
        <x:v>universal_1min_proxy</x:v>
      </x:c>
      <x:c r="B25" s="8" t="str">
        <x:v>Fixed every 1 min proxy</x:v>
      </x:c>
      <x:c r="C25" s="16" t="n">
        <x:v>65</x:v>
      </x:c>
      <x:c r="D25" s="16" t="n">
        <x:v>2435</x:v>
      </x:c>
      <x:c r="E25" s="18" t="n">
        <x:v>262221.8333333333</x:v>
      </x:c>
      <x:c r="F25" s="18" t="n">
        <x:v>258547.5</x:v>
      </x:c>
      <x:c r="G25" s="18" t="n">
        <x:v>79110.08333333331</x:v>
      </x:c>
      <x:c r="H25" s="18" t="n">
        <x:v>75435.75</x:v>
      </x:c>
      <x:c r="I25" s="18" t="n">
        <x:v>0.3016914431864623</x:v>
      </x:c>
      <x:c r="J25" s="18" t="n">
        <x:v>0.28767913426990255</x:v>
      </x:c>
      <x:c r="K25" s="18" t="n">
        <x:v>-0.014012308916559761</x:v>
      </x:c>
      <x:c r="L25" s="18" t="n">
        <x:v>60</x:v>
      </x:c>
      <x:c r="M25" s="16" t="n">
        <x:v>580271</x:v>
      </x:c>
      <x:c r="N25" s="16" t="n">
        <x:v>0</x:v>
      </x:c>
      <x:c r="O25" s="16" t="n">
        <x:v>0</x:v>
      </x:c>
      <x:c r="P25" s="18" t="n">
        <x:v>0.3016914431864623</x:v>
      </x:c>
      <x:c r="Q25" s="18" t="n">
        <x:v>0.28767913426990255</x:v>
      </x:c>
      <x:c r="R25" s="18" t="n">
        <x:v>0.2924724676498462</x:v>
      </x:c>
      <x:c r="S25" s="18" t="n">
        <x:v>0.49224206034018453</x:v>
      </x:c>
      <x:c r="T25" s="18" t="n">
        <x:v>48</x:v>
      </x:c>
      <x:c r="U25" s="8" t="str">
        <x:v>cuff_cadence</x:v>
      </x:c>
      <x:c r="V25" s="18" t="n">
        <x:v>48</x:v>
      </x:c>
      <x:c r="W25" s="8"/>
    </x:row>
    <x:row r="26">
      <x:c r="A26" s="8" t="str">
        <x:v>universal_continuous_reference</x:v>
      </x:c>
      <x:c r="B26" s="8" t="str">
        <x:v>All cases continuously observed; theoretical upper reference</x:v>
      </x:c>
      <x:c r="C26" s="16" t="n">
        <x:v>55</x:v>
      </x:c>
      <x:c r="D26" s="16" t="n">
        <x:v>2435</x:v>
      </x:c>
      <x:c r="E26" s="18" t="n">
        <x:v>65826.83333333333</x:v>
      </x:c>
      <x:c r="F26" s="18" t="n">
        <x:v>65826.83333333333</x:v>
      </x:c>
      <x:c r="G26" s="18" t="n">
        <x:v>0</x:v>
      </x:c>
      <x:c r="H26" s="18" t="n">
        <x:v>0</x:v>
      </x:c>
      <x:c r="I26" s="18" t="n">
        <x:v>0</x:v>
      </x:c>
      <x:c r="J26" s="18" t="n">
        <x:v>0</x:v>
      </x:c>
      <x:c r="K26" s="18" t="n">
        <x:v>0</x:v>
      </x:c>
      <x:c r="L26" s="18"/>
      <x:c r="M26" s="16" t="n">
        <x:v>3476213</x:v>
      </x:c>
      <x:c r="N26" s="16" t="n">
        <x:v>0</x:v>
      </x:c>
      <x:c r="O26" s="16" t="n">
        <x:v>2435</x:v>
      </x:c>
      <x:c r="P26" s="18"/>
      <x:c r="Q26" s="18"/>
      <x:c r="R26" s="18"/>
      <x:c r="S26" s="18"/>
      <x:c r="T26" s="18"/>
      <x:c r="U26" s="8" t="str">
        <x:v>modality_change</x:v>
      </x:c>
      <x:c r="V26" s="18"/>
      <x:c r="W26" s="8" t="str">
        <x:v>Continuous/reference monitoring changes device/staffing/insertion burden; not comparable as zero-cost cuff cadence.</x:v>
      </x:c>
    </x:row>
    <x:row r="27">
      <x:c r="A27" s="8" t="str">
        <x:v>universal_continuous_reference</x:v>
      </x:c>
      <x:c r="B27" s="8" t="str">
        <x:v>All cases continuously observed; theoretical upper reference</x:v>
      </x:c>
      <x:c r="C27" s="16" t="n">
        <x:v>60</x:v>
      </x:c>
      <x:c r="D27" s="16" t="n">
        <x:v>2435</x:v>
      </x:c>
      <x:c r="E27" s="18" t="n">
        <x:v>120110.5</x:v>
      </x:c>
      <x:c r="F27" s="18" t="n">
        <x:v>120110.5</x:v>
      </x:c>
      <x:c r="G27" s="18" t="n">
        <x:v>0</x:v>
      </x:c>
      <x:c r="H27" s="18" t="n">
        <x:v>0</x:v>
      </x:c>
      <x:c r="I27" s="18" t="n">
        <x:v>0</x:v>
      </x:c>
      <x:c r="J27" s="18" t="n">
        <x:v>0</x:v>
      </x:c>
      <x:c r="K27" s="18" t="n">
        <x:v>0</x:v>
      </x:c>
      <x:c r="L27" s="18"/>
      <x:c r="M27" s="16" t="n">
        <x:v>3476213</x:v>
      </x:c>
      <x:c r="N27" s="16" t="n">
        <x:v>0</x:v>
      </x:c>
      <x:c r="O27" s="16" t="n">
        <x:v>2435</x:v>
      </x:c>
      <x:c r="P27" s="18"/>
      <x:c r="Q27" s="18"/>
      <x:c r="R27" s="18"/>
      <x:c r="S27" s="18"/>
      <x:c r="T27" s="18"/>
      <x:c r="U27" s="8" t="str">
        <x:v>modality_change</x:v>
      </x:c>
      <x:c r="V27" s="18"/>
      <x:c r="W27" s="8" t="str">
        <x:v>Continuous/reference monitoring changes device/staffing/insertion burden; not comparable as zero-cost cuff cadence.</x:v>
      </x:c>
    </x:row>
    <x:row r="28">
      <x:c r="A28" s="8" t="str">
        <x:v>universal_continuous_reference</x:v>
      </x:c>
      <x:c r="B28" s="8" t="str">
        <x:v>All cases continuously observed; theoretical upper reference</x:v>
      </x:c>
      <x:c r="C28" s="16" t="n">
        <x:v>65</x:v>
      </x:c>
      <x:c r="D28" s="16" t="n">
        <x:v>2435</x:v>
      </x:c>
      <x:c r="E28" s="18" t="n">
        <x:v>262221.8333333333</x:v>
      </x:c>
      <x:c r="F28" s="18" t="n">
        <x:v>262221.8333333333</x:v>
      </x:c>
      <x:c r="G28" s="18" t="n">
        <x:v>0</x:v>
      </x:c>
      <x:c r="H28" s="18" t="n">
        <x:v>0</x:v>
      </x:c>
      <x:c r="I28" s="18" t="n">
        <x:v>0</x:v>
      </x:c>
      <x:c r="J28" s="18" t="n">
        <x:v>0</x:v>
      </x:c>
      <x:c r="K28" s="18" t="n">
        <x:v>0</x:v>
      </x:c>
      <x:c r="L28" s="18"/>
      <x:c r="M28" s="16" t="n">
        <x:v>3476213</x:v>
      </x:c>
      <x:c r="N28" s="16" t="n">
        <x:v>0</x:v>
      </x:c>
      <x:c r="O28" s="16" t="n">
        <x:v>2435</x:v>
      </x:c>
      <x:c r="P28" s="18" t="n">
        <x:v>0</x:v>
      </x:c>
      <x:c r="Q28" s="18" t="n">
        <x:v>0</x:v>
      </x:c>
      <x:c r="R28" s="18" t="n">
        <x:v>0.5941639108363085</x:v>
      </x:c>
      <x:c r="S28" s="18" t="n">
        <x:v>1</x:v>
      </x:c>
      <x:c r="T28" s="18"/>
      <x:c r="U28" s="8" t="str">
        <x:v>modality_change</x:v>
      </x:c>
      <x:c r="V28" s="18"/>
      <x:c r="W28" s="8" t="str">
        <x:v>Continuous/reference monitoring changes device/staffing/insertion burden; not comparable as zero-cost cuff cadence.</x:v>
      </x:c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1" hidden="0" customWidth="1"/>
    <x:col min="4" max="4" width="10" hidden="0" customWidth="1"/>
    <x:col min="5" max="5" width="19" hidden="0" customWidth="1"/>
    <x:col min="6" max="6" width="20" hidden="0" customWidth="1"/>
    <x:col min="7" max="7" width="20" hidden="0" customWidth="1"/>
    <x:col min="8" max="8" width="23" hidden="0" customWidth="1"/>
    <x:col min="9" max="9" width="21" hidden="0" customWidth="1"/>
    <x:col min="10" max="10" width="21" hidden="0" customWidth="1"/>
    <x:col min="11" max="11" width="24" hidden="0" customWidth="1"/>
    <x:col min="12" max="12" width="20" hidden="0" customWidth="1"/>
    <x:col min="13" max="13" width="20" hidden="0" customWidth="1"/>
    <x:col min="14" max="14" width="21" hidden="0" customWidth="1"/>
    <x:col min="15" max="15" width="27" hidden="0" customWidth="1"/>
    <x:col min="16" max="16" width="21" hidden="0" customWidth="1"/>
    <x:col min="17" max="17" width="21" hidden="0" customWidth="1"/>
    <x:col min="18" max="18" width="23" hidden="0" customWidth="1"/>
    <x:col min="19" max="19" width="32" hidden="0" customWidth="1"/>
    <x:col min="20" max="20" width="29" hidden="0" customWidth="1"/>
    <x:col min="21" max="21" width="17" hidden="0" customWidth="1"/>
    <x:col min="22" max="22" width="32" hidden="0" customWidth="1"/>
    <x:col min="23" max="23" width="34" hidden="0" customWidth="1"/>
    <x:col min="24" max="24" width="24" hidden="0" customWidth="1"/>
    <x:col min="25" max="25" width="29" hidden="0" customWidth="1"/>
    <x:col min="26" max="26" width="26" hidden="0" customWidth="1"/>
    <x:col min="27" max="27" width="33" hidden="0" customWidth="1"/>
    <x:col min="28" max="28" width="34" hidden="0" customWidth="1"/>
    <x:col min="29" max="29" width="11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threshold</x:v>
      </x:c>
      <x:c r="D1" s="14" t="str">
        <x:v>n_cases</x:v>
      </x:c>
      <x:c r="E1" s="14" t="str">
        <x:v>true_auc_total</x:v>
      </x:c>
      <x:c r="F1" s="14" t="str">
        <x:v>display_auc_total</x:v>
      </x:c>
      <x:c r="G1" s="14" t="str">
        <x:v>hidden_auc_total</x:v>
      </x:c>
      <x:c r="H1" s="14" t="str">
        <x:v>overdisplay_auc_total</x:v>
      </x:c>
      <x:c r="I1" s="14" t="str">
        <x:v>HDR</x:v>
      </x:c>
      <x:c r="J1" s="14" t="str">
        <x:v>ODR</x:v>
      </x:c>
      <x:c r="K1" s="14" t="str">
        <x:v>NetBias</x:v>
      </x:c>
      <x:c r="L1" s="14" t="str">
        <x:v>measurement_burden</x:v>
      </x:c>
      <x:c r="M1" s="14" t="str">
        <x:v>sample_count_total</x:v>
      </x:c>
      <x:c r="N1" s="14" t="str">
        <x:v>trigger_count_total</x:v>
      </x:c>
      <x:c r="O1" s="14" t="str">
        <x:v>selected_continuous_cases</x:v>
      </x:c>
      <x:c r="P1" s="14" t="str">
        <x:v>HDR65</x:v>
      </x:c>
      <x:c r="Q1" s="14" t="str">
        <x:v>ODR65</x:v>
      </x:c>
      <x:c r="R1" s="14" t="str">
        <x:v>hdr_reduction_vs_5min</x:v>
      </x:c>
      <x:c r="S1" s="14" t="str">
        <x:v>relative_hdr_reduction_vs_5min</x:v>
      </x:c>
      <x:c r="T1" s="14" t="str">
        <x:v>extra_measurements_per_hour</x:v>
      </x:c>
      <x:c r="U1" s="14" t="str">
        <x:v>cost_domain</x:v>
      </x:c>
      <x:c r="V1" s="14" t="str">
        <x:v>extra_cuff_inflations_per_hour</x:v>
      </x:c>
      <x:c r="W1" s="14" t="str">
        <x:v>modality_burden_note</x:v>
      </x:c>
      <x:c r="X1" s="14" t="str">
        <x:v>fixed_hidden_auc_total</x:v>
      </x:c>
      <x:c r="Y1" s="14" t="str">
        <x:v>fixed_overdisplay_auc_total</x:v>
      </x:c>
      <x:c r="Z1" s="14" t="str">
        <x:v>hidden_changed_vs_fixed5</x:v>
      </x:c>
      <x:c r="AA1" s="14" t="str">
        <x:v>overdisplay_identical_to_fixed5</x:v>
      </x:c>
      <x:c r="AB1" s="14" t="str">
        <x:v>all_display_series_identical_to_fixed5</x:v>
      </x:c>
      <x:c r="AC1" s="14" t="str">
        <x:v>qc_status</x:v>
      </x:c>
    </x:row>
    <x:row r="2">
      <x:c r="A2" s="8" t="str">
        <x:v>fixed_2_5min</x:v>
      </x:c>
      <x:c r="B2" s="8" t="str">
        <x:v>Fixed every 2.5 min</x:v>
      </x:c>
      <x:c r="C2" s="16" t="n">
        <x:v>55</x:v>
      </x:c>
      <x:c r="D2" s="16" t="n">
        <x:v>2435</x:v>
      </x:c>
      <x:c r="E2" s="18" t="n">
        <x:v>65826.83333333333</x:v>
      </x:c>
      <x:c r="F2" s="18" t="n">
        <x:v>63671.25</x:v>
      </x:c>
      <x:c r="G2" s="18" t="n">
        <x:v>44558.416666666664</x:v>
      </x:c>
      <x:c r="H2" s="18" t="n">
        <x:v>42402.83333333333</x:v>
      </x:c>
      <x:c r="I2" s="18" t="n">
        <x:v>0.67690354237507</x:v>
      </x:c>
      <x:c r="J2" s="18" t="n">
        <x:v>0.6441572712242475</x:v>
      </x:c>
      <x:c r="K2" s="18" t="n">
        <x:v>-0.03274627115082253</x:v>
      </x:c>
      <x:c r="L2" s="18" t="n">
        <x:v>24</x:v>
      </x:c>
      <x:c r="M2" s="16" t="n">
        <x:v>232789</x:v>
      </x:c>
      <x:c r="N2" s="16" t="n">
        <x:v>0</x:v>
      </x:c>
      <x:c r="O2" s="16" t="n">
        <x:v>0</x:v>
      </x:c>
      <x:c r="P2" s="18"/>
      <x:c r="Q2" s="18"/>
      <x:c r="R2" s="18"/>
      <x:c r="S2" s="18"/>
      <x:c r="T2" s="18" t="n">
        <x:v>12</x:v>
      </x:c>
      <x:c r="U2" s="8" t="str">
        <x:v>cuff_cadence</x:v>
      </x:c>
      <x:c r="V2" s="18" t="n">
        <x:v>12</x:v>
      </x:c>
      <x:c r="W2" s="8"/>
      <x:c r="X2" s="18" t="n">
        <x:v>51703.58333333333</x:v>
      </x:c>
      <x:c r="Y2" s="18" t="n">
        <x:v>50482.166666666664</x:v>
      </x:c>
      <x:c r="Z2" s="28" t="b">
        <x:v>1</x:v>
      </x:c>
      <x:c r="AA2" s="28" t="b">
        <x:v>0</x:v>
      </x:c>
      <x:c r="AB2" s="28" t="b">
        <x:v>0</x:v>
      </x:c>
      <x:c r="AC2" s="8" t="str">
        <x:v>PASS</x:v>
      </x:c>
    </x:row>
    <x:row r="3">
      <x:c r="A3" s="8" t="str">
        <x:v>fixed_2_5min</x:v>
      </x:c>
      <x:c r="B3" s="8" t="str">
        <x:v>Fixed every 2.5 min</x:v>
      </x:c>
      <x:c r="C3" s="16" t="n">
        <x:v>60</x:v>
      </x:c>
      <x:c r="D3" s="16" t="n">
        <x:v>2435</x:v>
      </x:c>
      <x:c r="E3" s="18" t="n">
        <x:v>120110.5</x:v>
      </x:c>
      <x:c r="F3" s="18" t="n">
        <x:v>117707.5</x:v>
      </x:c>
      <x:c r="G3" s="18" t="n">
        <x:v>71099.41666666666</x:v>
      </x:c>
      <x:c r="H3" s="18" t="n">
        <x:v>68696.41666666666</x:v>
      </x:c>
      <x:c r="I3" s="18" t="n">
        <x:v>0.5919500515497534</x:v>
      </x:c>
      <x:c r="J3" s="18" t="n">
        <x:v>0.5719434742729957</x:v>
      </x:c>
      <x:c r="K3" s="18" t="n">
        <x:v>-0.020006577276757653</x:v>
      </x:c>
      <x:c r="L3" s="18" t="n">
        <x:v>24</x:v>
      </x:c>
      <x:c r="M3" s="16" t="n">
        <x:v>232789</x:v>
      </x:c>
      <x:c r="N3" s="16" t="n">
        <x:v>0</x:v>
      </x:c>
      <x:c r="O3" s="16" t="n">
        <x:v>0</x:v>
      </x:c>
      <x:c r="P3" s="18"/>
      <x:c r="Q3" s="18"/>
      <x:c r="R3" s="18"/>
      <x:c r="S3" s="18"/>
      <x:c r="T3" s="18" t="n">
        <x:v>12</x:v>
      </x:c>
      <x:c r="U3" s="8" t="str">
        <x:v>cuff_cadence</x:v>
      </x:c>
      <x:c r="V3" s="18" t="n">
        <x:v>12</x:v>
      </x:c>
      <x:c r="W3" s="8"/>
      <x:c r="X3" s="18" t="n">
        <x:v>85546.24999999999</x:v>
      </x:c>
      <x:c r="Y3" s="18" t="n">
        <x:v>83758.08333333333</x:v>
      </x:c>
      <x:c r="Z3" s="28" t="b">
        <x:v>1</x:v>
      </x:c>
      <x:c r="AA3" s="28" t="b">
        <x:v>0</x:v>
      </x:c>
      <x:c r="AB3" s="28" t="b">
        <x:v>0</x:v>
      </x:c>
      <x:c r="AC3" s="8" t="str">
        <x:v>PASS</x:v>
      </x:c>
    </x:row>
    <x:row r="4">
      <x:c r="A4" s="8" t="str">
        <x:v>fixed_2_5min</x:v>
      </x:c>
      <x:c r="B4" s="8" t="str">
        <x:v>Fixed every 2.5 min</x:v>
      </x:c>
      <x:c r="C4" s="16" t="n">
        <x:v>65</x:v>
      </x:c>
      <x:c r="D4" s="16" t="n">
        <x:v>2435</x:v>
      </x:c>
      <x:c r="E4" s="18" t="n">
        <x:v>262221.8333333333</x:v>
      </x:c>
      <x:c r="F4" s="18" t="n">
        <x:v>259939.5833333333</x:v>
      </x:c>
      <x:c r="G4" s="18" t="n">
        <x:v>122288.33333333333</x:v>
      </x:c>
      <x:c r="H4" s="18" t="n">
        <x:v>120006.08333333333</x:v>
      </x:c>
      <x:c r="I4" s="18" t="n">
        <x:v>0.4663545051867662</x:v>
      </x:c>
      <x:c r="J4" s="18" t="n">
        <x:v>0.4576509965163084</x:v>
      </x:c>
      <x:c r="K4" s="18" t="n">
        <x:v>-0.008703508670457775</x:v>
      </x:c>
      <x:c r="L4" s="18" t="n">
        <x:v>24</x:v>
      </x:c>
      <x:c r="M4" s="16" t="n">
        <x:v>232789</x:v>
      </x:c>
      <x:c r="N4" s="16" t="n">
        <x:v>0</x:v>
      </x:c>
      <x:c r="O4" s="16" t="n">
        <x:v>0</x:v>
      </x:c>
      <x:c r="P4" s="18" t="n">
        <x:v>0.4663545051867662</x:v>
      </x:c>
      <x:c r="Q4" s="18" t="n">
        <x:v>0.4576509965163084</x:v>
      </x:c>
      <x:c r="R4" s="18" t="n">
        <x:v>0.1278094056495423</x:v>
      </x:c>
      <x:c r="S4" s="18" t="n">
        <x:v>0.21510799178234447</x:v>
      </x:c>
      <x:c r="T4" s="18" t="n">
        <x:v>12</x:v>
      </x:c>
      <x:c r="U4" s="8" t="str">
        <x:v>cuff_cadence</x:v>
      </x:c>
      <x:c r="V4" s="18" t="n">
        <x:v>12</x:v>
      </x:c>
      <x:c r="W4" s="8"/>
      <x:c r="X4" s="18" t="n">
        <x:v>155802.75</x:v>
      </x:c>
      <x:c r="Y4" s="18" t="n">
        <x:v>153306.58333333334</x:v>
      </x:c>
      <x:c r="Z4" s="28" t="b">
        <x:v>1</x:v>
      </x:c>
      <x:c r="AA4" s="28" t="b">
        <x:v>0</x:v>
      </x:c>
      <x:c r="AB4" s="28" t="b">
        <x:v>0</x:v>
      </x:c>
      <x:c r="AC4" s="8" t="str">
        <x:v>PASS</x:v>
      </x:c>
    </x:row>
    <x:row r="5">
      <x:c r="A5" s="8" t="str">
        <x:v>fixed_3min</x:v>
      </x:c>
      <x:c r="B5" s="8" t="str">
        <x:v>Fixed every 3 min</x:v>
      </x:c>
      <x:c r="C5" s="16" t="n">
        <x:v>55</x:v>
      </x:c>
      <x:c r="D5" s="16" t="n">
        <x:v>2435</x:v>
      </x:c>
      <x:c r="E5" s="18" t="n">
        <x:v>65826.83333333333</x:v>
      </x:c>
      <x:c r="F5" s="18" t="n">
        <x:v>64848.08333333333</x:v>
      </x:c>
      <x:c r="G5" s="18" t="n">
        <x:v>46430.416666666664</x:v>
      </x:c>
      <x:c r="H5" s="18" t="n">
        <x:v>45451.666666666664</x:v>
      </x:c>
      <x:c r="I5" s="18" t="n">
        <x:v>0.7053417932403453</x:v>
      </x:c>
      <x:c r="J5" s="18" t="n">
        <x:v>0.6904732365980438</x:v>
      </x:c>
      <x:c r="K5" s="18" t="n">
        <x:v>-0.014868556642301392</x:v>
      </x:c>
      <x:c r="L5" s="18" t="n">
        <x:v>20</x:v>
      </x:c>
      <x:c r="M5" s="16" t="n">
        <x:v>194264</x:v>
      </x:c>
      <x:c r="N5" s="16" t="n">
        <x:v>0</x:v>
      </x:c>
      <x:c r="O5" s="16" t="n">
        <x:v>0</x:v>
      </x:c>
      <x:c r="P5" s="18"/>
      <x:c r="Q5" s="18"/>
      <x:c r="R5" s="18"/>
      <x:c r="S5" s="18"/>
      <x:c r="T5" s="18" t="n">
        <x:v>8</x:v>
      </x:c>
      <x:c r="U5" s="8" t="str">
        <x:v>cuff_cadence</x:v>
      </x:c>
      <x:c r="V5" s="18" t="n">
        <x:v>8</x:v>
      </x:c>
      <x:c r="W5" s="8"/>
      <x:c r="X5" s="18" t="n">
        <x:v>51703.58333333333</x:v>
      </x:c>
      <x:c r="Y5" s="18" t="n">
        <x:v>50482.166666666664</x:v>
      </x:c>
      <x:c r="Z5" s="28" t="b">
        <x:v>1</x:v>
      </x:c>
      <x:c r="AA5" s="28" t="b">
        <x:v>0</x:v>
      </x:c>
      <x:c r="AB5" s="28" t="b">
        <x:v>0</x:v>
      </x:c>
      <x:c r="AC5" s="8" t="str">
        <x:v>PASS</x:v>
      </x:c>
    </x:row>
    <x:row r="6">
      <x:c r="A6" s="8" t="str">
        <x:v>fixed_3min</x:v>
      </x:c>
      <x:c r="B6" s="8" t="str">
        <x:v>Fixed every 3 min</x:v>
      </x:c>
      <x:c r="C6" s="16" t="n">
        <x:v>60</x:v>
      </x:c>
      <x:c r="D6" s="16" t="n">
        <x:v>2435</x:v>
      </x:c>
      <x:c r="E6" s="18" t="n">
        <x:v>120110.5</x:v>
      </x:c>
      <x:c r="F6" s="18" t="n">
        <x:v>118938.33333333333</x:v>
      </x:c>
      <x:c r="G6" s="18" t="n">
        <x:v>74933.58333333333</x:v>
      </x:c>
      <x:c r="H6" s="18" t="n">
        <x:v>73761.41666666666</x:v>
      </x:c>
      <x:c r="I6" s="18" t="n">
        <x:v>0.6238720456024521</x:v>
      </x:c>
      <x:c r="J6" s="18" t="n">
        <x:v>0.6141129765230072</x:v>
      </x:c>
      <x:c r="K6" s="18" t="n">
        <x:v>-0.00975906907944494</x:v>
      </x:c>
      <x:c r="L6" s="18" t="n">
        <x:v>20</x:v>
      </x:c>
      <x:c r="M6" s="16" t="n">
        <x:v>194264</x:v>
      </x:c>
      <x:c r="N6" s="16" t="n">
        <x:v>0</x:v>
      </x:c>
      <x:c r="O6" s="16" t="n">
        <x:v>0</x:v>
      </x:c>
      <x:c r="P6" s="18"/>
      <x:c r="Q6" s="18"/>
      <x:c r="R6" s="18"/>
      <x:c r="S6" s="18"/>
      <x:c r="T6" s="18" t="n">
        <x:v>8</x:v>
      </x:c>
      <x:c r="U6" s="8" t="str">
        <x:v>cuff_cadence</x:v>
      </x:c>
      <x:c r="V6" s="18" t="n">
        <x:v>8</x:v>
      </x:c>
      <x:c r="W6" s="8"/>
      <x:c r="X6" s="18" t="n">
        <x:v>85546.24999999999</x:v>
      </x:c>
      <x:c r="Y6" s="18" t="n">
        <x:v>83758.08333333333</x:v>
      </x:c>
      <x:c r="Z6" s="28" t="b">
        <x:v>1</x:v>
      </x:c>
      <x:c r="AA6" s="28" t="b">
        <x:v>0</x:v>
      </x:c>
      <x:c r="AB6" s="28" t="b">
        <x:v>0</x:v>
      </x:c>
      <x:c r="AC6" s="8" t="str">
        <x:v>PASS</x:v>
      </x:c>
    </x:row>
    <x:row r="7">
      <x:c r="A7" s="8" t="str">
        <x:v>fixed_3min</x:v>
      </x:c>
      <x:c r="B7" s="8" t="str">
        <x:v>Fixed every 3 min</x:v>
      </x:c>
      <x:c r="C7" s="16" t="n">
        <x:v>65</x:v>
      </x:c>
      <x:c r="D7" s="16" t="n">
        <x:v>2435</x:v>
      </x:c>
      <x:c r="E7" s="18" t="n">
        <x:v>262221.8333333333</x:v>
      </x:c>
      <x:c r="F7" s="18" t="n">
        <x:v>260323.0833333333</x:v>
      </x:c>
      <x:c r="G7" s="18" t="n">
        <x:v>131129.66666666666</x:v>
      </x:c>
      <x:c r="H7" s="18" t="n">
        <x:v>129230.91666666666</x:v>
      </x:c>
      <x:c r="I7" s="18" t="n">
        <x:v>0.5000715043433327</x:v>
      </x:c>
      <x:c r="J7" s="18" t="n">
        <x:v>0.49283049784184</x:v>
      </x:c>
      <x:c r="K7" s="18" t="n">
        <x:v>-0.007241006501492693</x:v>
      </x:c>
      <x:c r="L7" s="18" t="n">
        <x:v>20</x:v>
      </x:c>
      <x:c r="M7" s="16" t="n">
        <x:v>194264</x:v>
      </x:c>
      <x:c r="N7" s="16" t="n">
        <x:v>0</x:v>
      </x:c>
      <x:c r="O7" s="16" t="n">
        <x:v>0</x:v>
      </x:c>
      <x:c r="P7" s="18" t="n">
        <x:v>0.5000715043433327</x:v>
      </x:c>
      <x:c r="Q7" s="18" t="n">
        <x:v>0.49283049784184</x:v>
      </x:c>
      <x:c r="R7" s="18" t="n">
        <x:v>0.09409240649297579</x:v>
      </x:c>
      <x:c r="S7" s="18" t="n">
        <x:v>0.1583610259339668</x:v>
      </x:c>
      <x:c r="T7" s="18" t="n">
        <x:v>8</x:v>
      </x:c>
      <x:c r="U7" s="8" t="str">
        <x:v>cuff_cadence</x:v>
      </x:c>
      <x:c r="V7" s="18" t="n">
        <x:v>8</x:v>
      </x:c>
      <x:c r="W7" s="8"/>
      <x:c r="X7" s="18" t="n">
        <x:v>155802.75</x:v>
      </x:c>
      <x:c r="Y7" s="18" t="n">
        <x:v>153306.58333333334</x:v>
      </x:c>
      <x:c r="Z7" s="28" t="b">
        <x:v>1</x:v>
      </x:c>
      <x:c r="AA7" s="28" t="b">
        <x:v>0</x:v>
      </x:c>
      <x:c r="AB7" s="28" t="b">
        <x:v>0</x:v>
      </x:c>
      <x:c r="AC7" s="8" t="str">
        <x:v>PASS</x:v>
      </x:c>
    </x:row>
    <x:row r="8">
      <x:c r="A8" s="8" t="str">
        <x:v>fixed_5min_reference</x:v>
      </x:c>
      <x:c r="B8" s="8" t="str">
        <x:v>Fixed every 5 min</x:v>
      </x:c>
      <x:c r="C8" s="16" t="n">
        <x:v>55</x:v>
      </x:c>
      <x:c r="D8" s="16" t="n">
        <x:v>2435</x:v>
      </x:c>
      <x:c r="E8" s="18" t="n">
        <x:v>65826.83333333333</x:v>
      </x:c>
      <x:c r="F8" s="18" t="n">
        <x:v>64605.416666666664</x:v>
      </x:c>
      <x:c r="G8" s="18" t="n">
        <x:v>51703.58333333333</x:v>
      </x:c>
      <x:c r="H8" s="18" t="n">
        <x:v>50482.166666666664</x:v>
      </x:c>
      <x:c r="I8" s="18" t="n">
        <x:v>0.78544843668109</x:v>
      </x:c>
      <x:c r="J8" s="18" t="n">
        <x:v>0.7668934401118085</x:v>
      </x:c>
      <x:c r="K8" s="18" t="n">
        <x:v>-0.018554996569281487</x:v>
      </x:c>
      <x:c r="L8" s="18" t="n">
        <x:v>12</x:v>
      </x:c>
      <x:c r="M8" s="16" t="n">
        <x:v>116953</x:v>
      </x:c>
      <x:c r="N8" s="16" t="n">
        <x:v>0</x:v>
      </x:c>
      <x:c r="O8" s="16" t="n">
        <x:v>0</x:v>
      </x:c>
      <x:c r="P8" s="18"/>
      <x:c r="Q8" s="18"/>
      <x:c r="R8" s="18"/>
      <x:c r="S8" s="18"/>
      <x:c r="T8" s="18" t="n">
        <x:v>0</x:v>
      </x:c>
      <x:c r="U8" s="8" t="str">
        <x:v>cuff_cadence</x:v>
      </x:c>
      <x:c r="V8" s="18" t="n">
        <x:v>0</x:v>
      </x:c>
      <x:c r="W8" s="8"/>
      <x:c r="X8" s="18" t="n">
        <x:v>51703.58333333333</x:v>
      </x:c>
      <x:c r="Y8" s="18" t="n">
        <x:v>50482.166666666664</x:v>
      </x:c>
      <x:c r="Z8" s="28" t="b">
        <x:v>0</x:v>
      </x:c>
      <x:c r="AA8" s="28" t="b">
        <x:v>1</x:v>
      </x:c>
      <x:c r="AB8" s="28" t="b">
        <x:v>1</x:v>
      </x:c>
      <x:c r="AC8" s="8" t="str">
        <x:v>PASS</x:v>
      </x:c>
    </x:row>
    <x:row r="9">
      <x:c r="A9" s="8" t="str">
        <x:v>fixed_5min_reference</x:v>
      </x:c>
      <x:c r="B9" s="8" t="str">
        <x:v>Fixed every 5 min</x:v>
      </x:c>
      <x:c r="C9" s="16" t="n">
        <x:v>60</x:v>
      </x:c>
      <x:c r="D9" s="16" t="n">
        <x:v>2435</x:v>
      </x:c>
      <x:c r="E9" s="18" t="n">
        <x:v>120110.5</x:v>
      </x:c>
      <x:c r="F9" s="18" t="n">
        <x:v>118322.33333333333</x:v>
      </x:c>
      <x:c r="G9" s="18" t="n">
        <x:v>85546.24999999999</x:v>
      </x:c>
      <x:c r="H9" s="18" t="n">
        <x:v>83758.08333333333</x:v>
      </x:c>
      <x:c r="I9" s="18" t="n">
        <x:v>0.7122295719358422</x:v>
      </x:c>
      <x:c r="J9" s="18" t="n">
        <x:v>0.6973418921187851</x:v>
      </x:c>
      <x:c r="K9" s="18" t="n">
        <x:v>-0.014887679817057268</x:v>
      </x:c>
      <x:c r="L9" s="18" t="n">
        <x:v>12</x:v>
      </x:c>
      <x:c r="M9" s="16" t="n">
        <x:v>116953</x:v>
      </x:c>
      <x:c r="N9" s="16" t="n">
        <x:v>0</x:v>
      </x:c>
      <x:c r="O9" s="16" t="n">
        <x:v>0</x:v>
      </x:c>
      <x:c r="P9" s="18"/>
      <x:c r="Q9" s="18"/>
      <x:c r="R9" s="18"/>
      <x:c r="S9" s="18"/>
      <x:c r="T9" s="18" t="n">
        <x:v>0</x:v>
      </x:c>
      <x:c r="U9" s="8" t="str">
        <x:v>cuff_cadence</x:v>
      </x:c>
      <x:c r="V9" s="18" t="n">
        <x:v>0</x:v>
      </x:c>
      <x:c r="W9" s="8"/>
      <x:c r="X9" s="18" t="n">
        <x:v>85546.24999999999</x:v>
      </x:c>
      <x:c r="Y9" s="18" t="n">
        <x:v>83758.08333333333</x:v>
      </x:c>
      <x:c r="Z9" s="28" t="b">
        <x:v>0</x:v>
      </x:c>
      <x:c r="AA9" s="28" t="b">
        <x:v>1</x:v>
      </x:c>
      <x:c r="AB9" s="28" t="b">
        <x:v>1</x:v>
      </x:c>
      <x:c r="AC9" s="8" t="str">
        <x:v>PASS</x:v>
      </x:c>
    </x:row>
    <x:row r="10">
      <x:c r="A10" s="8" t="str">
        <x:v>fixed_5min_reference</x:v>
      </x:c>
      <x:c r="B10" s="8" t="str">
        <x:v>Fixed every 5 min</x:v>
      </x:c>
      <x:c r="C10" s="16" t="n">
        <x:v>65</x:v>
      </x:c>
      <x:c r="D10" s="16" t="n">
        <x:v>2435</x:v>
      </x:c>
      <x:c r="E10" s="18" t="n">
        <x:v>262221.8333333333</x:v>
      </x:c>
      <x:c r="F10" s="18" t="n">
        <x:v>259725.66666666666</x:v>
      </x:c>
      <x:c r="G10" s="18" t="n">
        <x:v>155802.75</x:v>
      </x:c>
      <x:c r="H10" s="18" t="n">
        <x:v>153306.58333333334</x:v>
      </x:c>
      <x:c r="I10" s="18" t="n">
        <x:v>0.5941639108363085</x:v>
      </x:c>
      <x:c r="J10" s="18" t="n">
        <x:v>0.5846446170576949</x:v>
      </x:c>
      <x:c r="K10" s="18" t="n">
        <x:v>-0.009519293778613618</x:v>
      </x:c>
      <x:c r="L10" s="18" t="n">
        <x:v>12</x:v>
      </x:c>
      <x:c r="M10" s="16" t="n">
        <x:v>116953</x:v>
      </x:c>
      <x:c r="N10" s="16" t="n">
        <x:v>0</x:v>
      </x:c>
      <x:c r="O10" s="16" t="n">
        <x:v>0</x:v>
      </x:c>
      <x:c r="P10" s="18" t="n">
        <x:v>0.5941639108363085</x:v>
      </x:c>
      <x:c r="Q10" s="18" t="n">
        <x:v>0.5846446170576949</x:v>
      </x:c>
      <x:c r="R10" s="18" t="n">
        <x:v>0</x:v>
      </x:c>
      <x:c r="S10" s="18" t="n">
        <x:v>0</x:v>
      </x:c>
      <x:c r="T10" s="18" t="n">
        <x:v>0</x:v>
      </x:c>
      <x:c r="U10" s="8" t="str">
        <x:v>cuff_cadence</x:v>
      </x:c>
      <x:c r="V10" s="18" t="n">
        <x:v>0</x:v>
      </x:c>
      <x:c r="W10" s="8"/>
      <x:c r="X10" s="18" t="n">
        <x:v>155802.75</x:v>
      </x:c>
      <x:c r="Y10" s="18" t="n">
        <x:v>153306.58333333334</x:v>
      </x:c>
      <x:c r="Z10" s="28" t="b">
        <x:v>0</x:v>
      </x:c>
      <x:c r="AA10" s="28" t="b">
        <x:v>1</x:v>
      </x:c>
      <x:c r="AB10" s="28" t="b">
        <x:v>1</x:v>
      </x:c>
      <x:c r="AC10" s="8" t="str">
        <x:v>PASS</x:v>
      </x:c>
    </x:row>
    <x:row r="11">
      <x:c r="A11" s="8" t="str">
        <x:v>induction_intensified_first20min</x:v>
      </x:c>
      <x:c r="B11" s="8" t="str">
        <x:v>1-min sampling for first 20 min, then 5-min</x:v>
      </x:c>
      <x:c r="C11" s="16" t="n">
        <x:v>55</x:v>
      </x:c>
      <x:c r="D11" s="16" t="n">
        <x:v>2435</x:v>
      </x:c>
      <x:c r="E11" s="18" t="n">
        <x:v>65826.83333333333</x:v>
      </x:c>
      <x:c r="F11" s="18" t="n">
        <x:v>67935.58333333333</x:v>
      </x:c>
      <x:c r="G11" s="18" t="n">
        <x:v>41155.5</x:v>
      </x:c>
      <x:c r="H11" s="18" t="n">
        <x:v>43264.25</x:v>
      </x:c>
      <x:c r="I11" s="18" t="n">
        <x:v>0.625208564896281</x:v>
      </x:c>
      <x:c r="J11" s="18" t="n">
        <x:v>0.6572433733963607</x:v>
      </x:c>
      <x:c r="K11" s="18" t="n">
        <x:v>0.03203480850007976</x:v>
      </x:c>
      <x:c r="L11" s="18" t="n">
        <x:v>16.95111477605436</x:v>
      </x:c>
      <x:c r="M11" s="16" t="n">
        <x:v>155913</x:v>
      </x:c>
      <x:c r="N11" s="16" t="n">
        <x:v>0</x:v>
      </x:c>
      <x:c r="O11" s="16" t="n">
        <x:v>0</x:v>
      </x:c>
      <x:c r="P11" s="18"/>
      <x:c r="Q11" s="18"/>
      <x:c r="R11" s="18"/>
      <x:c r="S11" s="18"/>
      <x:c r="T11" s="18" t="n">
        <x:v>4.951114776054361</x:v>
      </x:c>
      <x:c r="U11" s="8" t="str">
        <x:v>cuff_cadence</x:v>
      </x:c>
      <x:c r="V11" s="18" t="n">
        <x:v>4.951114776054361</x:v>
      </x:c>
      <x:c r="W11" s="8"/>
      <x:c r="X11" s="18" t="n">
        <x:v>51703.58333333333</x:v>
      </x:c>
      <x:c r="Y11" s="18" t="n">
        <x:v>50482.166666666664</x:v>
      </x:c>
      <x:c r="Z11" s="28" t="b">
        <x:v>1</x:v>
      </x:c>
      <x:c r="AA11" s="28" t="b">
        <x:v>0</x:v>
      </x:c>
      <x:c r="AB11" s="28" t="b">
        <x:v>0</x:v>
      </x:c>
      <x:c r="AC11" s="8" t="str">
        <x:v>PASS</x:v>
      </x:c>
    </x:row>
    <x:row r="12">
      <x:c r="A12" s="8" t="str">
        <x:v>induction_intensified_first20min</x:v>
      </x:c>
      <x:c r="B12" s="8" t="str">
        <x:v>1-min sampling for first 20 min, then 5-min</x:v>
      </x:c>
      <x:c r="C12" s="16" t="n">
        <x:v>60</x:v>
      </x:c>
      <x:c r="D12" s="16" t="n">
        <x:v>2435</x:v>
      </x:c>
      <x:c r="E12" s="18" t="n">
        <x:v>120110.5</x:v>
      </x:c>
      <x:c r="F12" s="18" t="n">
        <x:v>123297.33333333333</x:v>
      </x:c>
      <x:c r="G12" s="18" t="n">
        <x:v>70507.41666666666</x:v>
      </x:c>
      <x:c r="H12" s="18" t="n">
        <x:v>73694.25</x:v>
      </x:c>
      <x:c r="I12" s="18" t="n">
        <x:v>0.5870212568149051</x:v>
      </x:c>
      <x:c r="J12" s="18" t="n">
        <x:v>0.6135537692374938</x:v>
      </x:c>
      <x:c r="K12" s="18" t="n">
        <x:v>0.026532512422588726</x:v>
      </x:c>
      <x:c r="L12" s="18" t="n">
        <x:v>16.95111477605436</x:v>
      </x:c>
      <x:c r="M12" s="16" t="n">
        <x:v>155913</x:v>
      </x:c>
      <x:c r="N12" s="16" t="n">
        <x:v>0</x:v>
      </x:c>
      <x:c r="O12" s="16" t="n">
        <x:v>0</x:v>
      </x:c>
      <x:c r="P12" s="18"/>
      <x:c r="Q12" s="18"/>
      <x:c r="R12" s="18"/>
      <x:c r="S12" s="18"/>
      <x:c r="T12" s="18" t="n">
        <x:v>4.951114776054361</x:v>
      </x:c>
      <x:c r="U12" s="8" t="str">
        <x:v>cuff_cadence</x:v>
      </x:c>
      <x:c r="V12" s="18" t="n">
        <x:v>4.951114776054361</x:v>
      </x:c>
      <x:c r="W12" s="8"/>
      <x:c r="X12" s="18" t="n">
        <x:v>85546.24999999999</x:v>
      </x:c>
      <x:c r="Y12" s="18" t="n">
        <x:v>83758.08333333333</x:v>
      </x:c>
      <x:c r="Z12" s="28" t="b">
        <x:v>1</x:v>
      </x:c>
      <x:c r="AA12" s="28" t="b">
        <x:v>0</x:v>
      </x:c>
      <x:c r="AB12" s="28" t="b">
        <x:v>0</x:v>
      </x:c>
      <x:c r="AC12" s="8" t="str">
        <x:v>PASS</x:v>
      </x:c>
    </x:row>
    <x:row r="13">
      <x:c r="A13" s="8" t="str">
        <x:v>induction_intensified_first20min</x:v>
      </x:c>
      <x:c r="B13" s="8" t="str">
        <x:v>1-min sampling for first 20 min, then 5-min</x:v>
      </x:c>
      <x:c r="C13" s="16" t="n">
        <x:v>65</x:v>
      </x:c>
      <x:c r="D13" s="16" t="n">
        <x:v>2435</x:v>
      </x:c>
      <x:c r="E13" s="18" t="n">
        <x:v>262221.8333333333</x:v>
      </x:c>
      <x:c r="F13" s="18" t="n">
        <x:v>267720.4166666666</x:v>
      </x:c>
      <x:c r="G13" s="18" t="n">
        <x:v>133556.5</x:v>
      </x:c>
      <x:c r="H13" s="18" t="n">
        <x:v>139055.0833333333</x:v>
      </x:c>
      <x:c r="I13" s="18" t="n">
        <x:v>0.5093263909501561</x:v>
      </x:c>
      <x:c r="J13" s="18" t="n">
        <x:v>0.5302955957773666</x:v>
      </x:c>
      <x:c r="K13" s="18" t="n">
        <x:v>0.020969204827210475</x:v>
      </x:c>
      <x:c r="L13" s="18" t="n">
        <x:v>16.95111477605436</x:v>
      </x:c>
      <x:c r="M13" s="16" t="n">
        <x:v>155913</x:v>
      </x:c>
      <x:c r="N13" s="16" t="n">
        <x:v>0</x:v>
      </x:c>
      <x:c r="O13" s="16" t="n">
        <x:v>0</x:v>
      </x:c>
      <x:c r="P13" s="18" t="n">
        <x:v>0.5093263909501561</x:v>
      </x:c>
      <x:c r="Q13" s="18" t="n">
        <x:v>0.5302955957773666</x:v>
      </x:c>
      <x:c r="R13" s="18" t="n">
        <x:v>0.0848375198861524</x:v>
      </x:c>
      <x:c r="S13" s="18" t="n">
        <x:v>0.14278470694515985</x:v>
      </x:c>
      <x:c r="T13" s="18" t="n">
        <x:v>4.951114776054361</x:v>
      </x:c>
      <x:c r="U13" s="8" t="str">
        <x:v>cuff_cadence</x:v>
      </x:c>
      <x:c r="V13" s="18" t="n">
        <x:v>4.951114776054361</x:v>
      </x:c>
      <x:c r="W13" s="8"/>
      <x:c r="X13" s="18" t="n">
        <x:v>155802.75</x:v>
      </x:c>
      <x:c r="Y13" s="18" t="n">
        <x:v>153306.58333333334</x:v>
      </x:c>
      <x:c r="Z13" s="28" t="b">
        <x:v>1</x:v>
      </x:c>
      <x:c r="AA13" s="28" t="b">
        <x:v>0</x:v>
      </x:c>
      <x:c r="AB13" s="28" t="b">
        <x:v>0</x:v>
      </x:c>
      <x:c r="AC13" s="8" t="str">
        <x:v>PASS</x:v>
      </x:c>
    </x:row>
    <x:row r="14">
      <x:c r="A14" s="8" t="str">
        <x:v>selective_continuous_top20_oof</x:v>
      </x:c>
      <x:c r="B14" s="8" t="str">
        <x:v>OOF high-hidden-risk top 20 percent continuous reference, others 5-min</x:v>
      </x:c>
      <x:c r="C14" s="16" t="n">
        <x:v>55</x:v>
      </x:c>
      <x:c r="D14" s="16" t="n">
        <x:v>2435</x:v>
      </x:c>
      <x:c r="E14" s="18" t="n">
        <x:v>65826.83333333333</x:v>
      </x:c>
      <x:c r="F14" s="18" t="n">
        <x:v>65585.33333333333</x:v>
      </x:c>
      <x:c r="G14" s="18" t="n">
        <x:v>36379.58333333333</x:v>
      </x:c>
      <x:c r="H14" s="18" t="n">
        <x:v>36138.08333333333</x:v>
      </x:c>
      <x:c r="I14" s="18" t="n">
        <x:v>0.5526558318416248</x:v>
      </x:c>
      <x:c r="J14" s="18" t="n">
        <x:v>0.5489871151835244</x:v>
      </x:c>
      <x:c r="K14" s="18" t="n">
        <x:v>-0.0036687166581004203</x:v>
      </x:c>
      <x:c r="L14" s="18" t="n">
        <x:v>12</x:v>
      </x:c>
      <x:c r="M14" s="16" t="n">
        <x:v>1175731</x:v>
      </x:c>
      <x:c r="N14" s="16" t="n">
        <x:v>0</x:v>
      </x:c>
      <x:c r="O14" s="16" t="n">
        <x:v>487</x:v>
      </x:c>
      <x:c r="P14" s="18"/>
      <x:c r="Q14" s="18"/>
      <x:c r="R14" s="18"/>
      <x:c r="S14" s="18"/>
      <x:c r="T14" s="18" t="n">
        <x:v>0</x:v>
      </x:c>
      <x:c r="U14" s="8" t="str">
        <x:v>modality_change</x:v>
      </x:c>
      <x:c r="V14" s="18"/>
      <x:c r="W14" s="8" t="str">
        <x:v>Continuous/reference monitoring changes device/staffing/insertion burden; not comparable as zero-cost cuff cadence.</x:v>
      </x:c>
      <x:c r="X14" s="18" t="n">
        <x:v>51703.58333333333</x:v>
      </x:c>
      <x:c r="Y14" s="18" t="n">
        <x:v>50482.166666666664</x:v>
      </x:c>
      <x:c r="Z14" s="28" t="b">
        <x:v>1</x:v>
      </x:c>
      <x:c r="AA14" s="28" t="b">
        <x:v>0</x:v>
      </x:c>
      <x:c r="AB14" s="28" t="b">
        <x:v>0</x:v>
      </x:c>
      <x:c r="AC14" s="8" t="str">
        <x:v>PASS</x:v>
      </x:c>
    </x:row>
    <x:row r="15">
      <x:c r="A15" s="8" t="str">
        <x:v>selective_continuous_top20_oof</x:v>
      </x:c>
      <x:c r="B15" s="8" t="str">
        <x:v>OOF high-hidden-risk top 20 percent continuous reference, others 5-min</x:v>
      </x:c>
      <x:c r="C15" s="16" t="n">
        <x:v>60</x:v>
      </x:c>
      <x:c r="D15" s="16" t="n">
        <x:v>2435</x:v>
      </x:c>
      <x:c r="E15" s="18" t="n">
        <x:v>120110.5</x:v>
      </x:c>
      <x:c r="F15" s="18" t="n">
        <x:v>119891.5</x:v>
      </x:c>
      <x:c r="G15" s="18" t="n">
        <x:v>58260.166666666664</x:v>
      </x:c>
      <x:c r="H15" s="18" t="n">
        <x:v>58041.16666666666</x:v>
      </x:c>
      <x:c r="I15" s="18" t="n">
        <x:v>0.4850547343210349</x:v>
      </x:c>
      <x:c r="J15" s="18" t="n">
        <x:v>0.48323141329581226</x:v>
      </x:c>
      <x:c r="K15" s="18" t="n">
        <x:v>-0.001823321025222668</x:v>
      </x:c>
      <x:c r="L15" s="18" t="n">
        <x:v>12</x:v>
      </x:c>
      <x:c r="M15" s="16" t="n">
        <x:v>1175731</x:v>
      </x:c>
      <x:c r="N15" s="16" t="n">
        <x:v>0</x:v>
      </x:c>
      <x:c r="O15" s="16" t="n">
        <x:v>487</x:v>
      </x:c>
      <x:c r="P15" s="18"/>
      <x:c r="Q15" s="18"/>
      <x:c r="R15" s="18"/>
      <x:c r="S15" s="18"/>
      <x:c r="T15" s="18" t="n">
        <x:v>0</x:v>
      </x:c>
      <x:c r="U15" s="8" t="str">
        <x:v>modality_change</x:v>
      </x:c>
      <x:c r="V15" s="18"/>
      <x:c r="W15" s="8" t="str">
        <x:v>Continuous/reference monitoring changes device/staffing/insertion burden; not comparable as zero-cost cuff cadence.</x:v>
      </x:c>
      <x:c r="X15" s="18" t="n">
        <x:v>85546.24999999999</x:v>
      </x:c>
      <x:c r="Y15" s="18" t="n">
        <x:v>83758.08333333333</x:v>
      </x:c>
      <x:c r="Z15" s="28" t="b">
        <x:v>1</x:v>
      </x:c>
      <x:c r="AA15" s="28" t="b">
        <x:v>0</x:v>
      </x:c>
      <x:c r="AB15" s="28" t="b">
        <x:v>0</x:v>
      </x:c>
      <x:c r="AC15" s="8" t="str">
        <x:v>PASS</x:v>
      </x:c>
    </x:row>
    <x:row r="16">
      <x:c r="A16" s="8" t="str">
        <x:v>selective_continuous_top20_oof</x:v>
      </x:c>
      <x:c r="B16" s="8" t="str">
        <x:v>OOF high-hidden-risk top 20 percent continuous reference, others 5-min</x:v>
      </x:c>
      <x:c r="C16" s="16" t="n">
        <x:v>65</x:v>
      </x:c>
      <x:c r="D16" s="16" t="n">
        <x:v>2435</x:v>
      </x:c>
      <x:c r="E16" s="18" t="n">
        <x:v>262221.8333333333</x:v>
      </x:c>
      <x:c r="F16" s="18" t="n">
        <x:v>262448.1666666666</x:v>
      </x:c>
      <x:c r="G16" s="18" t="n">
        <x:v>103189.5</x:v>
      </x:c>
      <x:c r="H16" s="18" t="n">
        <x:v>103415.83333333333</x:v>
      </x:c>
      <x:c r="I16" s="18" t="n">
        <x:v>0.3935198632709837</x:v>
      </x:c>
      <x:c r="J16" s="18" t="n">
        <x:v>0.3943830001442799</x:v>
      </x:c>
      <x:c r="K16" s="18" t="n">
        <x:v>0.000863136873296192</x:v>
      </x:c>
      <x:c r="L16" s="18" t="n">
        <x:v>12</x:v>
      </x:c>
      <x:c r="M16" s="16" t="n">
        <x:v>1175731</x:v>
      </x:c>
      <x:c r="N16" s="16" t="n">
        <x:v>0</x:v>
      </x:c>
      <x:c r="O16" s="16" t="n">
        <x:v>487</x:v>
      </x:c>
      <x:c r="P16" s="18" t="n">
        <x:v>0.3935198632709837</x:v>
      </x:c>
      <x:c r="Q16" s="18" t="n">
        <x:v>0.3943830001442799</x:v>
      </x:c>
      <x:c r="R16" s="18" t="n">
        <x:v>0.20064404756532478</x:v>
      </x:c>
      <x:c r="S16" s="18" t="n">
        <x:v>0.33769140788593266</x:v>
      </x:c>
      <x:c r="T16" s="18" t="n">
        <x:v>0</x:v>
      </x:c>
      <x:c r="U16" s="8" t="str">
        <x:v>modality_change</x:v>
      </x:c>
      <x:c r="V16" s="18"/>
      <x:c r="W16" s="8" t="str">
        <x:v>Continuous/reference monitoring changes device/staffing/insertion burden; not comparable as zero-cost cuff cadence.</x:v>
      </x:c>
      <x:c r="X16" s="18" t="n">
        <x:v>155802.75</x:v>
      </x:c>
      <x:c r="Y16" s="18" t="n">
        <x:v>153306.58333333334</x:v>
      </x:c>
      <x:c r="Z16" s="28" t="b">
        <x:v>1</x:v>
      </x:c>
      <x:c r="AA16" s="28" t="b">
        <x:v>0</x:v>
      </x:c>
      <x:c r="AB16" s="28" t="b">
        <x:v>0</x:v>
      </x:c>
      <x:c r="AC16" s="8" t="str">
        <x:v>PASS</x:v>
      </x:c>
    </x:row>
    <x:row r="17">
      <x:c r="A17" s="8" t="str">
        <x:v>threshold_triggered_adaptive</x:v>
      </x:c>
      <x:c r="B17" s="8" t="str">
        <x:v>Rule-based 1-min escalation after displayed MAP &lt;70</x:v>
      </x:c>
      <x:c r="C17" s="16" t="n">
        <x:v>55</x:v>
      </x:c>
      <x:c r="D17" s="16" t="n">
        <x:v>2435</x:v>
      </x:c>
      <x:c r="E17" s="18" t="n">
        <x:v>65826.83333333333</x:v>
      </x:c>
      <x:c r="F17" s="18" t="n">
        <x:v>33672.666666666664</x:v>
      </x:c>
      <x:c r="G17" s="18" t="n">
        <x:v>46250</x:v>
      </x:c>
      <x:c r="H17" s="18" t="n">
        <x:v>14095.833333333332</x:v>
      </x:c>
      <x:c r="I17" s="18" t="n">
        <x:v>0.7026010163028755</x:v>
      </x:c>
      <x:c r="J17" s="18" t="n">
        <x:v>0.21413506650023673</x:v>
      </x:c>
      <x:c r="K17" s="18" t="n">
        <x:v>-0.4884659498026388</x:v>
      </x:c>
      <x:c r="L17" s="18" t="n">
        <x:v>20.81970167278465</x:v>
      </x:c>
      <x:c r="M17" s="16" t="n">
        <x:v>202242</x:v>
      </x:c>
      <x:c r="N17" s="16" t="n">
        <x:v>65982</x:v>
      </x:c>
      <x:c r="O17" s="16" t="n">
        <x:v>0</x:v>
      </x:c>
      <x:c r="P17" s="18"/>
      <x:c r="Q17" s="18"/>
      <x:c r="R17" s="18"/>
      <x:c r="S17" s="18"/>
      <x:c r="T17" s="18" t="n">
        <x:v>8.81970167278465</x:v>
      </x:c>
      <x:c r="U17" s="8" t="str">
        <x:v>cuff_cadence</x:v>
      </x:c>
      <x:c r="V17" s="18" t="n">
        <x:v>8.81970167278465</x:v>
      </x:c>
      <x:c r="W17" s="8"/>
      <x:c r="X17" s="18" t="n">
        <x:v>51703.58333333333</x:v>
      </x:c>
      <x:c r="Y17" s="18" t="n">
        <x:v>50482.166666666664</x:v>
      </x:c>
      <x:c r="Z17" s="28" t="b">
        <x:v>1</x:v>
      </x:c>
      <x:c r="AA17" s="28" t="b">
        <x:v>0</x:v>
      </x:c>
      <x:c r="AB17" s="28" t="b">
        <x:v>0</x:v>
      </x:c>
      <x:c r="AC17" s="8" t="str">
        <x:v>PASS</x:v>
      </x:c>
    </x:row>
    <x:row r="18">
      <x:c r="A18" s="8" t="str">
        <x:v>threshold_triggered_adaptive</x:v>
      </x:c>
      <x:c r="B18" s="8" t="str">
        <x:v>Rule-based 1-min escalation after displayed MAP &lt;70</x:v>
      </x:c>
      <x:c r="C18" s="16" t="n">
        <x:v>60</x:v>
      </x:c>
      <x:c r="D18" s="16" t="n">
        <x:v>2435</x:v>
      </x:c>
      <x:c r="E18" s="18" t="n">
        <x:v>120110.5</x:v>
      </x:c>
      <x:c r="F18" s="18" t="n">
        <x:v>75074.58333333333</x:v>
      </x:c>
      <x:c r="G18" s="18" t="n">
        <x:v>70050.66666666666</x:v>
      </x:c>
      <x:c r="H18" s="18" t="n">
        <x:v>25014.75</x:v>
      </x:c>
      <x:c r="I18" s="18" t="n">
        <x:v>0.5832185085123004</x:v>
      </x:c>
      <x:c r="J18" s="18" t="n">
        <x:v>0.2082644731309919</x:v>
      </x:c>
      <x:c r="K18" s="18" t="n">
        <x:v>-0.3749540353813085</x:v>
      </x:c>
      <x:c r="L18" s="18" t="n">
        <x:v>20.81970167278465</x:v>
      </x:c>
      <x:c r="M18" s="16" t="n">
        <x:v>202242</x:v>
      </x:c>
      <x:c r="N18" s="16" t="n">
        <x:v>65982</x:v>
      </x:c>
      <x:c r="O18" s="16" t="n">
        <x:v>0</x:v>
      </x:c>
      <x:c r="P18" s="18"/>
      <x:c r="Q18" s="18"/>
      <x:c r="R18" s="18"/>
      <x:c r="S18" s="18"/>
      <x:c r="T18" s="18" t="n">
        <x:v>8.81970167278465</x:v>
      </x:c>
      <x:c r="U18" s="8" t="str">
        <x:v>cuff_cadence</x:v>
      </x:c>
      <x:c r="V18" s="18" t="n">
        <x:v>8.81970167278465</x:v>
      </x:c>
      <x:c r="W18" s="8"/>
      <x:c r="X18" s="18" t="n">
        <x:v>85546.24999999999</x:v>
      </x:c>
      <x:c r="Y18" s="18" t="n">
        <x:v>83758.08333333333</x:v>
      </x:c>
      <x:c r="Z18" s="28" t="b">
        <x:v>1</x:v>
      </x:c>
      <x:c r="AA18" s="28" t="b">
        <x:v>0</x:v>
      </x:c>
      <x:c r="AB18" s="28" t="b">
        <x:v>0</x:v>
      </x:c>
      <x:c r="AC18" s="8" t="str">
        <x:v>PASS</x:v>
      </x:c>
    </x:row>
    <x:row r="19">
      <x:c r="A19" s="8" t="str">
        <x:v>threshold_triggered_adaptive</x:v>
      </x:c>
      <x:c r="B19" s="8" t="str">
        <x:v>Rule-based 1-min escalation after displayed MAP &lt;70</x:v>
      </x:c>
      <x:c r="C19" s="16" t="n">
        <x:v>65</x:v>
      </x:c>
      <x:c r="D19" s="16" t="n">
        <x:v>2435</x:v>
      </x:c>
      <x:c r="E19" s="18" t="n">
        <x:v>262221.8333333333</x:v>
      </x:c>
      <x:c r="F19" s="18" t="n">
        <x:v>191500.41666666666</x:v>
      </x:c>
      <x:c r="G19" s="18" t="n">
        <x:v>117483.91666666666</x:v>
      </x:c>
      <x:c r="H19" s="18" t="n">
        <x:v>46762.5</x:v>
      </x:c>
      <x:c r="I19" s="18" t="n">
        <x:v>0.44803255004827336</x:v>
      </x:c>
      <x:c r="J19" s="18" t="n">
        <x:v>0.17833183227178517</x:v>
      </x:c>
      <x:c r="K19" s="18" t="n">
        <x:v>-0.2697007177764882</x:v>
      </x:c>
      <x:c r="L19" s="18" t="n">
        <x:v>20.81970167278465</x:v>
      </x:c>
      <x:c r="M19" s="16" t="n">
        <x:v>202242</x:v>
      </x:c>
      <x:c r="N19" s="16" t="n">
        <x:v>65982</x:v>
      </x:c>
      <x:c r="O19" s="16" t="n">
        <x:v>0</x:v>
      </x:c>
      <x:c r="P19" s="18" t="n">
        <x:v>0.44803255004827336</x:v>
      </x:c>
      <x:c r="Q19" s="18" t="n">
        <x:v>0.17833183227178517</x:v>
      </x:c>
      <x:c r="R19" s="18" t="n">
        <x:v>0.14613136078803513</x:v>
      </x:c>
      <x:c r="S19" s="18" t="n">
        <x:v>0.24594452494152605</x:v>
      </x:c>
      <x:c r="T19" s="18" t="n">
        <x:v>8.81970167278465</x:v>
      </x:c>
      <x:c r="U19" s="8" t="str">
        <x:v>cuff_cadence</x:v>
      </x:c>
      <x:c r="V19" s="18" t="n">
        <x:v>8.81970167278465</x:v>
      </x:c>
      <x:c r="W19" s="8"/>
      <x:c r="X19" s="18" t="n">
        <x:v>155802.75</x:v>
      </x:c>
      <x:c r="Y19" s="18" t="n">
        <x:v>153306.58333333334</x:v>
      </x:c>
      <x:c r="Z19" s="28" t="b">
        <x:v>1</x:v>
      </x:c>
      <x:c r="AA19" s="28" t="b">
        <x:v>0</x:v>
      </x:c>
      <x:c r="AB19" s="28" t="b">
        <x:v>0</x:v>
      </x:c>
      <x:c r="AC19" s="8" t="str">
        <x:v>PASS</x:v>
      </x:c>
    </x:row>
    <x:row r="20">
      <x:c r="A20" s="8" t="str">
        <x:v>trend_triggered_adaptive</x:v>
      </x:c>
      <x:c r="B20" s="8" t="str">
        <x:v>Rule-based 1-min escalation after a &gt;=8-mm Hg fall or MAP &lt;75</x:v>
      </x:c>
      <x:c r="C20" s="16" t="n">
        <x:v>55</x:v>
      </x:c>
      <x:c r="D20" s="16" t="n">
        <x:v>2435</x:v>
      </x:c>
      <x:c r="E20" s="18" t="n">
        <x:v>65826.83333333333</x:v>
      </x:c>
      <x:c r="F20" s="18" t="n">
        <x:v>39653.416666666664</x:v>
      </x:c>
      <x:c r="G20" s="18" t="n">
        <x:v>44410.75</x:v>
      </x:c>
      <x:c r="H20" s="18" t="n">
        <x:v>18237.333333333336</x:v>
      </x:c>
      <x:c r="I20" s="18" t="n">
        <x:v>0.6746602829140093</x:v>
      </x:c>
      <x:c r="J20" s="18" t="n">
        <x:v>0.27705013912766074</x:v>
      </x:c>
      <x:c r="K20" s="18" t="n">
        <x:v>-0.3976101437863485</x:v>
      </x:c>
      <x:c r="L20" s="18" t="n">
        <x:v>27.88529822636406</x:v>
      </x:c>
      <x:c r="M20" s="16" t="n">
        <x:v>271759</x:v>
      </x:c>
      <x:c r="N20" s="16" t="n">
        <x:v>141414</x:v>
      </x:c>
      <x:c r="O20" s="16" t="n">
        <x:v>0</x:v>
      </x:c>
      <x:c r="P20" s="18"/>
      <x:c r="Q20" s="18"/>
      <x:c r="R20" s="18"/>
      <x:c r="S20" s="18"/>
      <x:c r="T20" s="18" t="n">
        <x:v>15.88529822636406</x:v>
      </x:c>
      <x:c r="U20" s="8" t="str">
        <x:v>cuff_cadence</x:v>
      </x:c>
      <x:c r="V20" s="18" t="n">
        <x:v>15.88529822636406</x:v>
      </x:c>
      <x:c r="W20" s="8"/>
      <x:c r="X20" s="18" t="n">
        <x:v>51703.58333333333</x:v>
      </x:c>
      <x:c r="Y20" s="18" t="n">
        <x:v>50482.166666666664</x:v>
      </x:c>
      <x:c r="Z20" s="28" t="b">
        <x:v>1</x:v>
      </x:c>
      <x:c r="AA20" s="28" t="b">
        <x:v>0</x:v>
      </x:c>
      <x:c r="AB20" s="28" t="b">
        <x:v>0</x:v>
      </x:c>
      <x:c r="AC20" s="8" t="str">
        <x:v>PASS</x:v>
      </x:c>
    </x:row>
    <x:row r="21">
      <x:c r="A21" s="8" t="str">
        <x:v>trend_triggered_adaptive</x:v>
      </x:c>
      <x:c r="B21" s="8" t="str">
        <x:v>Rule-based 1-min escalation after a &gt;=8-mm Hg fall or MAP &lt;75</x:v>
      </x:c>
      <x:c r="C21" s="16" t="n">
        <x:v>60</x:v>
      </x:c>
      <x:c r="D21" s="16" t="n">
        <x:v>2435</x:v>
      </x:c>
      <x:c r="E21" s="18" t="n">
        <x:v>120110.5</x:v>
      </x:c>
      <x:c r="F21" s="18" t="n">
        <x:v>84649.91666666667</x:v>
      </x:c>
      <x:c r="G21" s="18" t="n">
        <x:v>66179.41666666666</x:v>
      </x:c>
      <x:c r="H21" s="18" t="n">
        <x:v>30718.83333333333</x:v>
      </x:c>
      <x:c r="I21" s="18" t="n">
        <x:v>0.5509877709831086</x:v>
      </x:c>
      <x:c r="J21" s="18" t="n">
        <x:v>0.2557547702601632</x:v>
      </x:c>
      <x:c r="K21" s="18" t="n">
        <x:v>-0.29523300072294534</x:v>
      </x:c>
      <x:c r="L21" s="18" t="n">
        <x:v>27.88529822636406</x:v>
      </x:c>
      <x:c r="M21" s="16" t="n">
        <x:v>271759</x:v>
      </x:c>
      <x:c r="N21" s="16" t="n">
        <x:v>141414</x:v>
      </x:c>
      <x:c r="O21" s="16" t="n">
        <x:v>0</x:v>
      </x:c>
      <x:c r="P21" s="18"/>
      <x:c r="Q21" s="18"/>
      <x:c r="R21" s="18"/>
      <x:c r="S21" s="18"/>
      <x:c r="T21" s="18" t="n">
        <x:v>15.88529822636406</x:v>
      </x:c>
      <x:c r="U21" s="8" t="str">
        <x:v>cuff_cadence</x:v>
      </x:c>
      <x:c r="V21" s="18" t="n">
        <x:v>15.88529822636406</x:v>
      </x:c>
      <x:c r="W21" s="8"/>
      <x:c r="X21" s="18" t="n">
        <x:v>85546.24999999999</x:v>
      </x:c>
      <x:c r="Y21" s="18" t="n">
        <x:v>83758.08333333333</x:v>
      </x:c>
      <x:c r="Z21" s="28" t="b">
        <x:v>1</x:v>
      </x:c>
      <x:c r="AA21" s="28" t="b">
        <x:v>0</x:v>
      </x:c>
      <x:c r="AB21" s="28" t="b">
        <x:v>0</x:v>
      </x:c>
      <x:c r="AC21" s="8" t="str">
        <x:v>PASS</x:v>
      </x:c>
    </x:row>
    <x:row r="22">
      <x:c r="A22" s="8" t="str">
        <x:v>trend_triggered_adaptive</x:v>
      </x:c>
      <x:c r="B22" s="8" t="str">
        <x:v>Rule-based 1-min escalation after a &gt;=8-mm Hg fall or MAP &lt;75</x:v>
      </x:c>
      <x:c r="C22" s="16" t="n">
        <x:v>65</x:v>
      </x:c>
      <x:c r="D22" s="16" t="n">
        <x:v>2435</x:v>
      </x:c>
      <x:c r="E22" s="18" t="n">
        <x:v>262221.8333333333</x:v>
      </x:c>
      <x:c r="F22" s="18" t="n">
        <x:v>211240.91666666666</x:v>
      </x:c>
      <x:c r="G22" s="18" t="n">
        <x:v>106251.33333333334</x:v>
      </x:c>
      <x:c r="H22" s="18" t="n">
        <x:v>55270.416666666664</x:v>
      </x:c>
      <x:c r="I22" s="18" t="n">
        <x:v>0.40519636363867495</x:v>
      </x:c>
      <x:c r="J22" s="18" t="n">
        <x:v>0.21077732530535534</x:v>
      </x:c>
      <x:c r="K22" s="18" t="n">
        <x:v>-0.1944190383333196</x:v>
      </x:c>
      <x:c r="L22" s="18" t="n">
        <x:v>27.88529822636406</x:v>
      </x:c>
      <x:c r="M22" s="16" t="n">
        <x:v>271759</x:v>
      </x:c>
      <x:c r="N22" s="16" t="n">
        <x:v>141414</x:v>
      </x:c>
      <x:c r="O22" s="16" t="n">
        <x:v>0</x:v>
      </x:c>
      <x:c r="P22" s="18" t="n">
        <x:v>0.40519636363867495</x:v>
      </x:c>
      <x:c r="Q22" s="18" t="n">
        <x:v>0.21077732530535534</x:v>
      </x:c>
      <x:c r="R22" s="18" t="n">
        <x:v>0.18896754719763353</x:v>
      </x:c>
      <x:c r="S22" s="18" t="n">
        <x:v>0.3180394227102324</x:v>
      </x:c>
      <x:c r="T22" s="18" t="n">
        <x:v>15.88529822636406</x:v>
      </x:c>
      <x:c r="U22" s="8" t="str">
        <x:v>cuff_cadence</x:v>
      </x:c>
      <x:c r="V22" s="18" t="n">
        <x:v>15.88529822636406</x:v>
      </x:c>
      <x:c r="W22" s="8"/>
      <x:c r="X22" s="18" t="n">
        <x:v>155802.75</x:v>
      </x:c>
      <x:c r="Y22" s="18" t="n">
        <x:v>153306.58333333334</x:v>
      </x:c>
      <x:c r="Z22" s="28" t="b">
        <x:v>1</x:v>
      </x:c>
      <x:c r="AA22" s="28" t="b">
        <x:v>0</x:v>
      </x:c>
      <x:c r="AB22" s="28" t="b">
        <x:v>0</x:v>
      </x:c>
      <x:c r="AC22" s="8" t="str">
        <x:v>PASS</x:v>
      </x:c>
    </x:row>
    <x:row r="23">
      <x:c r="A23" s="8" t="str">
        <x:v>universal_1min_proxy</x:v>
      </x:c>
      <x:c r="B23" s="8" t="str">
        <x:v>Fixed every 1 min proxy</x:v>
      </x:c>
      <x:c r="C23" s="16" t="n">
        <x:v>55</x:v>
      </x:c>
      <x:c r="D23" s="16" t="n">
        <x:v>2435</x:v>
      </x:c>
      <x:c r="E23" s="18" t="n">
        <x:v>65826.83333333333</x:v>
      </x:c>
      <x:c r="F23" s="18" t="n">
        <x:v>63081.08333333333</x:v>
      </x:c>
      <x:c r="G23" s="18" t="n">
        <x:v>32142.916666666664</x:v>
      </x:c>
      <x:c r="H23" s="18" t="n">
        <x:v>29397.166666666664</x:v>
      </x:c>
      <x:c r="I23" s="18" t="n">
        <x:v>0.48829504685272723</x:v>
      </x:c>
      <x:c r="J23" s="18" t="n">
        <x:v>0.4465833335443246</x:v>
      </x:c>
      <x:c r="K23" s="18" t="n">
        <x:v>-0.041711713308402606</x:v>
      </x:c>
      <x:c r="L23" s="18" t="n">
        <x:v>60</x:v>
      </x:c>
      <x:c r="M23" s="16" t="n">
        <x:v>580271</x:v>
      </x:c>
      <x:c r="N23" s="16" t="n">
        <x:v>0</x:v>
      </x:c>
      <x:c r="O23" s="16" t="n">
        <x:v>0</x:v>
      </x:c>
      <x:c r="P23" s="18"/>
      <x:c r="Q23" s="18"/>
      <x:c r="R23" s="18"/>
      <x:c r="S23" s="18"/>
      <x:c r="T23" s="18" t="n">
        <x:v>48</x:v>
      </x:c>
      <x:c r="U23" s="8" t="str">
        <x:v>cuff_cadence</x:v>
      </x:c>
      <x:c r="V23" s="18" t="n">
        <x:v>48</x:v>
      </x:c>
      <x:c r="W23" s="8"/>
      <x:c r="X23" s="18" t="n">
        <x:v>51703.58333333333</x:v>
      </x:c>
      <x:c r="Y23" s="18" t="n">
        <x:v>50482.166666666664</x:v>
      </x:c>
      <x:c r="Z23" s="28" t="b">
        <x:v>1</x:v>
      </x:c>
      <x:c r="AA23" s="28" t="b">
        <x:v>0</x:v>
      </x:c>
      <x:c r="AB23" s="28" t="b">
        <x:v>0</x:v>
      </x:c>
      <x:c r="AC23" s="8" t="str">
        <x:v>PASS</x:v>
      </x:c>
    </x:row>
    <x:row r="24">
      <x:c r="A24" s="8" t="str">
        <x:v>universal_1min_proxy</x:v>
      </x:c>
      <x:c r="B24" s="8" t="str">
        <x:v>Fixed every 1 min proxy</x:v>
      </x:c>
      <x:c r="C24" s="16" t="n">
        <x:v>60</x:v>
      </x:c>
      <x:c r="D24" s="16" t="n">
        <x:v>2435</x:v>
      </x:c>
      <x:c r="E24" s="18" t="n">
        <x:v>120110.5</x:v>
      </x:c>
      <x:c r="F24" s="18" t="n">
        <x:v>117077.83333333333</x:v>
      </x:c>
      <x:c r="G24" s="18" t="n">
        <x:v>48780.666666666664</x:v>
      </x:c>
      <x:c r="H24" s="18" t="n">
        <x:v>45748</x:v>
      </x:c>
      <x:c r="I24" s="18" t="n">
        <x:v>0.40613157606259787</x:v>
      </x:c>
      <x:c r="J24" s="18" t="n">
        <x:v>0.3808826039355427</x:v>
      </x:c>
      <x:c r="K24" s="18" t="n">
        <x:v>-0.025248972127055205</x:v>
      </x:c>
      <x:c r="L24" s="18" t="n">
        <x:v>60</x:v>
      </x:c>
      <x:c r="M24" s="16" t="n">
        <x:v>580271</x:v>
      </x:c>
      <x:c r="N24" s="16" t="n">
        <x:v>0</x:v>
      </x:c>
      <x:c r="O24" s="16" t="n">
        <x:v>0</x:v>
      </x:c>
      <x:c r="P24" s="18"/>
      <x:c r="Q24" s="18"/>
      <x:c r="R24" s="18"/>
      <x:c r="S24" s="18"/>
      <x:c r="T24" s="18" t="n">
        <x:v>48</x:v>
      </x:c>
      <x:c r="U24" s="8" t="str">
        <x:v>cuff_cadence</x:v>
      </x:c>
      <x:c r="V24" s="18" t="n">
        <x:v>48</x:v>
      </x:c>
      <x:c r="W24" s="8"/>
      <x:c r="X24" s="18" t="n">
        <x:v>85546.24999999999</x:v>
      </x:c>
      <x:c r="Y24" s="18" t="n">
        <x:v>83758.08333333333</x:v>
      </x:c>
      <x:c r="Z24" s="28" t="b">
        <x:v>1</x:v>
      </x:c>
      <x:c r="AA24" s="28" t="b">
        <x:v>0</x:v>
      </x:c>
      <x:c r="AB24" s="28" t="b">
        <x:v>0</x:v>
      </x:c>
      <x:c r="AC24" s="8" t="str">
        <x:v>PASS</x:v>
      </x:c>
    </x:row>
    <x:row r="25">
      <x:c r="A25" s="8" t="str">
        <x:v>universal_1min_proxy</x:v>
      </x:c>
      <x:c r="B25" s="8" t="str">
        <x:v>Fixed every 1 min proxy</x:v>
      </x:c>
      <x:c r="C25" s="16" t="n">
        <x:v>65</x:v>
      </x:c>
      <x:c r="D25" s="16" t="n">
        <x:v>2435</x:v>
      </x:c>
      <x:c r="E25" s="18" t="n">
        <x:v>262221.8333333333</x:v>
      </x:c>
      <x:c r="F25" s="18" t="n">
        <x:v>258547.5</x:v>
      </x:c>
      <x:c r="G25" s="18" t="n">
        <x:v>79110.08333333331</x:v>
      </x:c>
      <x:c r="H25" s="18" t="n">
        <x:v>75435.75</x:v>
      </x:c>
      <x:c r="I25" s="18" t="n">
        <x:v>0.3016914431864623</x:v>
      </x:c>
      <x:c r="J25" s="18" t="n">
        <x:v>0.28767913426990255</x:v>
      </x:c>
      <x:c r="K25" s="18" t="n">
        <x:v>-0.014012308916559761</x:v>
      </x:c>
      <x:c r="L25" s="18" t="n">
        <x:v>60</x:v>
      </x:c>
      <x:c r="M25" s="16" t="n">
        <x:v>580271</x:v>
      </x:c>
      <x:c r="N25" s="16" t="n">
        <x:v>0</x:v>
      </x:c>
      <x:c r="O25" s="16" t="n">
        <x:v>0</x:v>
      </x:c>
      <x:c r="P25" s="18" t="n">
        <x:v>0.3016914431864623</x:v>
      </x:c>
      <x:c r="Q25" s="18" t="n">
        <x:v>0.28767913426990255</x:v>
      </x:c>
      <x:c r="R25" s="18" t="n">
        <x:v>0.2924724676498462</x:v>
      </x:c>
      <x:c r="S25" s="18" t="n">
        <x:v>0.49224206034018453</x:v>
      </x:c>
      <x:c r="T25" s="18" t="n">
        <x:v>48</x:v>
      </x:c>
      <x:c r="U25" s="8" t="str">
        <x:v>cuff_cadence</x:v>
      </x:c>
      <x:c r="V25" s="18" t="n">
        <x:v>48</x:v>
      </x:c>
      <x:c r="W25" s="8"/>
      <x:c r="X25" s="18" t="n">
        <x:v>155802.75</x:v>
      </x:c>
      <x:c r="Y25" s="18" t="n">
        <x:v>153306.58333333334</x:v>
      </x:c>
      <x:c r="Z25" s="28" t="b">
        <x:v>1</x:v>
      </x:c>
      <x:c r="AA25" s="28" t="b">
        <x:v>0</x:v>
      </x:c>
      <x:c r="AB25" s="28" t="b">
        <x:v>0</x:v>
      </x:c>
      <x:c r="AC25" s="8" t="str">
        <x:v>PASS</x:v>
      </x:c>
    </x:row>
    <x:row r="26">
      <x:c r="A26" s="8" t="str">
        <x:v>universal_continuous_reference</x:v>
      </x:c>
      <x:c r="B26" s="8" t="str">
        <x:v>All cases continuously observed; theoretical upper reference</x:v>
      </x:c>
      <x:c r="C26" s="16" t="n">
        <x:v>55</x:v>
      </x:c>
      <x:c r="D26" s="16" t="n">
        <x:v>2435</x:v>
      </x:c>
      <x:c r="E26" s="18" t="n">
        <x:v>65826.83333333333</x:v>
      </x:c>
      <x:c r="F26" s="18" t="n">
        <x:v>65826.83333333333</x:v>
      </x:c>
      <x:c r="G26" s="18" t="n">
        <x:v>0</x:v>
      </x:c>
      <x:c r="H26" s="18" t="n">
        <x:v>0</x:v>
      </x:c>
      <x:c r="I26" s="18" t="n">
        <x:v>0</x:v>
      </x:c>
      <x:c r="J26" s="18" t="n">
        <x:v>0</x:v>
      </x:c>
      <x:c r="K26" s="18" t="n">
        <x:v>0</x:v>
      </x:c>
      <x:c r="L26" s="18"/>
      <x:c r="M26" s="16" t="n">
        <x:v>3476213</x:v>
      </x:c>
      <x:c r="N26" s="16" t="n">
        <x:v>0</x:v>
      </x:c>
      <x:c r="O26" s="16" t="n">
        <x:v>2435</x:v>
      </x:c>
      <x:c r="P26" s="18"/>
      <x:c r="Q26" s="18"/>
      <x:c r="R26" s="18"/>
      <x:c r="S26" s="18"/>
      <x:c r="T26" s="18"/>
      <x:c r="U26" s="8" t="str">
        <x:v>modality_change</x:v>
      </x:c>
      <x:c r="V26" s="18"/>
      <x:c r="W26" s="8" t="str">
        <x:v>Continuous/reference monitoring changes device/staffing/insertion burden; not comparable as zero-cost cuff cadence.</x:v>
      </x:c>
      <x:c r="X26" s="18" t="n">
        <x:v>51703.58333333333</x:v>
      </x:c>
      <x:c r="Y26" s="18" t="n">
        <x:v>50482.166666666664</x:v>
      </x:c>
      <x:c r="Z26" s="28" t="b">
        <x:v>1</x:v>
      </x:c>
      <x:c r="AA26" s="28" t="b">
        <x:v>0</x:v>
      </x:c>
      <x:c r="AB26" s="28" t="b">
        <x:v>0</x:v>
      </x:c>
      <x:c r="AC26" s="8" t="str">
        <x:v>PASS</x:v>
      </x:c>
    </x:row>
    <x:row r="27">
      <x:c r="A27" s="8" t="str">
        <x:v>universal_continuous_reference</x:v>
      </x:c>
      <x:c r="B27" s="8" t="str">
        <x:v>All cases continuously observed; theoretical upper reference</x:v>
      </x:c>
      <x:c r="C27" s="16" t="n">
        <x:v>60</x:v>
      </x:c>
      <x:c r="D27" s="16" t="n">
        <x:v>2435</x:v>
      </x:c>
      <x:c r="E27" s="18" t="n">
        <x:v>120110.5</x:v>
      </x:c>
      <x:c r="F27" s="18" t="n">
        <x:v>120110.5</x:v>
      </x:c>
      <x:c r="G27" s="18" t="n">
        <x:v>0</x:v>
      </x:c>
      <x:c r="H27" s="18" t="n">
        <x:v>0</x:v>
      </x:c>
      <x:c r="I27" s="18" t="n">
        <x:v>0</x:v>
      </x:c>
      <x:c r="J27" s="18" t="n">
        <x:v>0</x:v>
      </x:c>
      <x:c r="K27" s="18" t="n">
        <x:v>0</x:v>
      </x:c>
      <x:c r="L27" s="18"/>
      <x:c r="M27" s="16" t="n">
        <x:v>3476213</x:v>
      </x:c>
      <x:c r="N27" s="16" t="n">
        <x:v>0</x:v>
      </x:c>
      <x:c r="O27" s="16" t="n">
        <x:v>2435</x:v>
      </x:c>
      <x:c r="P27" s="18"/>
      <x:c r="Q27" s="18"/>
      <x:c r="R27" s="18"/>
      <x:c r="S27" s="18"/>
      <x:c r="T27" s="18"/>
      <x:c r="U27" s="8" t="str">
        <x:v>modality_change</x:v>
      </x:c>
      <x:c r="V27" s="18"/>
      <x:c r="W27" s="8" t="str">
        <x:v>Continuous/reference monitoring changes device/staffing/insertion burden; not comparable as zero-cost cuff cadence.</x:v>
      </x:c>
      <x:c r="X27" s="18" t="n">
        <x:v>85546.24999999999</x:v>
      </x:c>
      <x:c r="Y27" s="18" t="n">
        <x:v>83758.08333333333</x:v>
      </x:c>
      <x:c r="Z27" s="28" t="b">
        <x:v>1</x:v>
      </x:c>
      <x:c r="AA27" s="28" t="b">
        <x:v>0</x:v>
      </x:c>
      <x:c r="AB27" s="28" t="b">
        <x:v>0</x:v>
      </x:c>
      <x:c r="AC27" s="8" t="str">
        <x:v>PASS</x:v>
      </x:c>
    </x:row>
    <x:row r="28">
      <x:c r="A28" s="8" t="str">
        <x:v>universal_continuous_reference</x:v>
      </x:c>
      <x:c r="B28" s="8" t="str">
        <x:v>All cases continuously observed; theoretical upper reference</x:v>
      </x:c>
      <x:c r="C28" s="16" t="n">
        <x:v>65</x:v>
      </x:c>
      <x:c r="D28" s="16" t="n">
        <x:v>2435</x:v>
      </x:c>
      <x:c r="E28" s="18" t="n">
        <x:v>262221.8333333333</x:v>
      </x:c>
      <x:c r="F28" s="18" t="n">
        <x:v>262221.8333333333</x:v>
      </x:c>
      <x:c r="G28" s="18" t="n">
        <x:v>0</x:v>
      </x:c>
      <x:c r="H28" s="18" t="n">
        <x:v>0</x:v>
      </x:c>
      <x:c r="I28" s="18" t="n">
        <x:v>0</x:v>
      </x:c>
      <x:c r="J28" s="18" t="n">
        <x:v>0</x:v>
      </x:c>
      <x:c r="K28" s="18" t="n">
        <x:v>0</x:v>
      </x:c>
      <x:c r="L28" s="18"/>
      <x:c r="M28" s="16" t="n">
        <x:v>3476213</x:v>
      </x:c>
      <x:c r="N28" s="16" t="n">
        <x:v>0</x:v>
      </x:c>
      <x:c r="O28" s="16" t="n">
        <x:v>2435</x:v>
      </x:c>
      <x:c r="P28" s="18" t="n">
        <x:v>0</x:v>
      </x:c>
      <x:c r="Q28" s="18" t="n">
        <x:v>0</x:v>
      </x:c>
      <x:c r="R28" s="18" t="n">
        <x:v>0.5941639108363085</x:v>
      </x:c>
      <x:c r="S28" s="18" t="n">
        <x:v>1</x:v>
      </x:c>
      <x:c r="T28" s="18"/>
      <x:c r="U28" s="8" t="str">
        <x:v>modality_change</x:v>
      </x:c>
      <x:c r="V28" s="18"/>
      <x:c r="W28" s="8" t="str">
        <x:v>Continuous/reference monitoring changes device/staffing/insertion burden; not comparable as zero-cost cuff cadence.</x:v>
      </x:c>
      <x:c r="X28" s="18" t="n">
        <x:v>155802.75</x:v>
      </x:c>
      <x:c r="Y28" s="18" t="n">
        <x:v>153306.58333333334</x:v>
      </x:c>
      <x:c r="Z28" s="28" t="b">
        <x:v>1</x:v>
      </x:c>
      <x:c r="AA28" s="28" t="b">
        <x:v>0</x:v>
      </x:c>
      <x:c r="AB28" s="28" t="b">
        <x:v>0</x:v>
      </x:c>
      <x:c r="AC28" s="8" t="str">
        <x:v>PASS</x:v>
      </x:c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1" hidden="0" customWidth="1"/>
    <x:col min="4" max="4" width="10" hidden="0" customWidth="1"/>
    <x:col min="5" max="5" width="19" hidden="0" customWidth="1"/>
    <x:col min="6" max="6" width="20" hidden="0" customWidth="1"/>
    <x:col min="7" max="7" width="20" hidden="0" customWidth="1"/>
    <x:col min="8" max="8" width="23" hidden="0" customWidth="1"/>
    <x:col min="9" max="9" width="20" hidden="0" customWidth="1"/>
    <x:col min="10" max="10" width="20" hidden="0" customWidth="1"/>
    <x:col min="11" max="11" width="21" hidden="0" customWidth="1"/>
    <x:col min="12" max="12" width="20" hidden="0" customWidth="1"/>
    <x:col min="13" max="13" width="20" hidden="0" customWidth="1"/>
    <x:col min="14" max="14" width="21" hidden="0" customWidth="1"/>
    <x:col min="15" max="15" width="27" hidden="0" customWidth="1"/>
    <x:col min="16" max="16" width="20" hidden="0" customWidth="1"/>
    <x:col min="17" max="17" width="20" hidden="0" customWidth="1"/>
    <x:col min="18" max="18" width="23" hidden="0" customWidth="1"/>
    <x:col min="19" max="19" width="32" hidden="0" customWidth="1"/>
    <x:col min="20" max="20" width="29" hidden="0" customWidth="1"/>
    <x:col min="21" max="21" width="17" hidden="0" customWidth="1"/>
    <x:col min="22" max="22" width="32" hidden="0" customWidth="1"/>
    <x:col min="23" max="23" width="34" hidden="0" customWidth="1"/>
    <x:col min="24" max="24" width="16" hidden="0" customWidth="1"/>
    <x:col min="25" max="25" width="34" hidden="0" customWidth="1"/>
    <x:col min="26" max="26" width="25" hidden="0" customWidth="1"/>
    <x:col min="27" max="27" width="34" hidden="0" customWidth="1"/>
    <x:col min="28" max="28" width="34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threshold</x:v>
      </x:c>
      <x:c r="D1" s="14" t="str">
        <x:v>n_cases</x:v>
      </x:c>
      <x:c r="E1" s="14" t="str">
        <x:v>true_auc_total</x:v>
      </x:c>
      <x:c r="F1" s="14" t="str">
        <x:v>display_auc_total</x:v>
      </x:c>
      <x:c r="G1" s="14" t="str">
        <x:v>hidden_auc_total</x:v>
      </x:c>
      <x:c r="H1" s="14" t="str">
        <x:v>overdisplay_auc_total</x:v>
      </x:c>
      <x:c r="I1" s="14" t="str">
        <x:v>HDR</x:v>
      </x:c>
      <x:c r="J1" s="14" t="str">
        <x:v>ODR</x:v>
      </x:c>
      <x:c r="K1" s="14" t="str">
        <x:v>NetBias</x:v>
      </x:c>
      <x:c r="L1" s="14" t="str">
        <x:v>measurement_burden</x:v>
      </x:c>
      <x:c r="M1" s="14" t="str">
        <x:v>sample_count_total</x:v>
      </x:c>
      <x:c r="N1" s="14" t="str">
        <x:v>trigger_count_total</x:v>
      </x:c>
      <x:c r="O1" s="14" t="str">
        <x:v>selected_continuous_cases</x:v>
      </x:c>
      <x:c r="P1" s="14" t="str">
        <x:v>HDR65</x:v>
      </x:c>
      <x:c r="Q1" s="14" t="str">
        <x:v>ODR65</x:v>
      </x:c>
      <x:c r="R1" s="14" t="str">
        <x:v>hdr_reduction_vs_5min</x:v>
      </x:c>
      <x:c r="S1" s="14" t="str">
        <x:v>relative_hdr_reduction_vs_5min</x:v>
      </x:c>
      <x:c r="T1" s="14" t="str">
        <x:v>extra_measurements_per_hour</x:v>
      </x:c>
      <x:c r="U1" s="14" t="str">
        <x:v>cost_domain</x:v>
      </x:c>
      <x:c r="V1" s="14" t="str">
        <x:v>extra_cuff_inflations_per_hour</x:v>
      </x:c>
      <x:c r="W1" s="14" t="str">
        <x:v>modality_burden_note</x:v>
      </x:c>
      <x:c r="X1" s="14" t="str">
        <x:v>pareto_optimal</x:v>
      </x:c>
      <x:c r="Y1" s="14" t="str">
        <x:v>scenario_role</x:v>
      </x:c>
      <x:c r="Z1" s="14" t="str">
        <x:v>phase_convention</x:v>
      </x:c>
      <x:c r="AA1" s="14" t="str">
        <x:v>analysis_sample</x:v>
      </x:c>
      <x:c r="AB1" s="14" t="str">
        <x:v>comparison_baseline</x:v>
      </x:c>
    </x:row>
    <x:row r="2">
      <x:c r="A2" s="8" t="str">
        <x:v>fixed_2_5min</x:v>
      </x:c>
      <x:c r="B2" s="8" t="str">
        <x:v>Fixed every 2.5 min</x:v>
      </x:c>
      <x:c r="C2" s="16" t="n">
        <x:v>65</x:v>
      </x:c>
      <x:c r="D2" s="16" t="n">
        <x:v>2435</x:v>
      </x:c>
      <x:c r="E2" s="18" t="n">
        <x:v>262221.8333333333</x:v>
      </x:c>
      <x:c r="F2" s="18" t="n">
        <x:v>259939.5833333333</x:v>
      </x:c>
      <x:c r="G2" s="18" t="n">
        <x:v>122288.33333333331</x:v>
      </x:c>
      <x:c r="H2" s="18" t="n">
        <x:v>120006.08333333331</x:v>
      </x:c>
      <x:c r="I2" s="18" t="n">
        <x:v>0.4663545051867662</x:v>
      </x:c>
      <x:c r="J2" s="18" t="n">
        <x:v>0.4576509965163084</x:v>
      </x:c>
      <x:c r="K2" s="18" t="n">
        <x:v>-0.0087035086704577</x:v>
      </x:c>
      <x:c r="L2" s="18" t="n">
        <x:v>24</x:v>
      </x:c>
      <x:c r="M2" s="16" t="n">
        <x:v>232789</x:v>
      </x:c>
      <x:c r="N2" s="16" t="n">
        <x:v>0</x:v>
      </x:c>
      <x:c r="O2" s="16" t="n">
        <x:v>0</x:v>
      </x:c>
      <x:c r="P2" s="18" t="n">
        <x:v>0.4663545051867662</x:v>
      </x:c>
      <x:c r="Q2" s="18" t="n">
        <x:v>0.4576509965163084</x:v>
      </x:c>
      <x:c r="R2" s="18" t="n">
        <x:v>0.1278094056495423</x:v>
      </x:c>
      <x:c r="S2" s="18" t="n">
        <x:v>0.2151079917823444</x:v>
      </x:c>
      <x:c r="T2" s="18" t="n">
        <x:v>12</x:v>
      </x:c>
      <x:c r="U2" s="8" t="str">
        <x:v>cuff_cadence</x:v>
      </x:c>
      <x:c r="V2" s="18" t="n">
        <x:v>12</x:v>
      </x:c>
      <x:c r="W2" s="8"/>
      <x:c r="X2" s="28" t="b">
        <x:v>0</x:v>
      </x:c>
      <x:c r="Y2" s="8" t="str">
        <x:v>hypothesis-generating monitoring policy scenario</x:v>
      </x:c>
      <x:c r="Z2" s="8" t="str">
        <x:v>start_anchored_offset_0</x:v>
      </x:c>
      <x:c r="AA2" s="8" t="str">
        <x:v>same 2435-case primary arterial-series cohort</x:v>
      </x:c>
      <x:c r="AB2" s="8" t="str">
        <x:v>fixed_5min_reference under the same start-anchored convention</x:v>
      </x:c>
    </x:row>
    <x:row r="3">
      <x:c r="A3" s="8" t="str">
        <x:v>fixed_3min</x:v>
      </x:c>
      <x:c r="B3" s="8" t="str">
        <x:v>Fixed every 3 min</x:v>
      </x:c>
      <x:c r="C3" s="16" t="n">
        <x:v>65</x:v>
      </x:c>
      <x:c r="D3" s="16" t="n">
        <x:v>2435</x:v>
      </x:c>
      <x:c r="E3" s="18" t="n">
        <x:v>262221.8333333333</x:v>
      </x:c>
      <x:c r="F3" s="18" t="n">
        <x:v>260323.0833333333</x:v>
      </x:c>
      <x:c r="G3" s="18" t="n">
        <x:v>131129.66666666666</x:v>
      </x:c>
      <x:c r="H3" s="18" t="n">
        <x:v>129230.91666666666</x:v>
      </x:c>
      <x:c r="I3" s="18" t="n">
        <x:v>0.5000715043433327</x:v>
      </x:c>
      <x:c r="J3" s="18" t="n">
        <x:v>0.49283049784184</x:v>
      </x:c>
      <x:c r="K3" s="18" t="n">
        <x:v>-0.0072410065014926</x:v>
      </x:c>
      <x:c r="L3" s="18" t="n">
        <x:v>20</x:v>
      </x:c>
      <x:c r="M3" s="16" t="n">
        <x:v>194264</x:v>
      </x:c>
      <x:c r="N3" s="16" t="n">
        <x:v>0</x:v>
      </x:c>
      <x:c r="O3" s="16" t="n">
        <x:v>0</x:v>
      </x:c>
      <x:c r="P3" s="18" t="n">
        <x:v>0.5000715043433327</x:v>
      </x:c>
      <x:c r="Q3" s="18" t="n">
        <x:v>0.49283049784184</x:v>
      </x:c>
      <x:c r="R3" s="18" t="n">
        <x:v>0.0940924064929757</x:v>
      </x:c>
      <x:c r="S3" s="18" t="n">
        <x:v>0.1583610259339668</x:v>
      </x:c>
      <x:c r="T3" s="18" t="n">
        <x:v>8</x:v>
      </x:c>
      <x:c r="U3" s="8" t="str">
        <x:v>cuff_cadence</x:v>
      </x:c>
      <x:c r="V3" s="18" t="n">
        <x:v>8</x:v>
      </x:c>
      <x:c r="W3" s="8"/>
      <x:c r="X3" s="28" t="b">
        <x:v>1</x:v>
      </x:c>
      <x:c r="Y3" s="8" t="str">
        <x:v>hypothesis-generating monitoring policy scenario</x:v>
      </x:c>
      <x:c r="Z3" s="8" t="str">
        <x:v>start_anchored_offset_0</x:v>
      </x:c>
      <x:c r="AA3" s="8" t="str">
        <x:v>same 2435-case primary arterial-series cohort</x:v>
      </x:c>
      <x:c r="AB3" s="8" t="str">
        <x:v>fixed_5min_reference under the same start-anchored convention</x:v>
      </x:c>
    </x:row>
    <x:row r="4">
      <x:c r="A4" s="8" t="str">
        <x:v>fixed_5min_reference</x:v>
      </x:c>
      <x:c r="B4" s="8" t="str">
        <x:v>Fixed every 5 min</x:v>
      </x:c>
      <x:c r="C4" s="16" t="n">
        <x:v>65</x:v>
      </x:c>
      <x:c r="D4" s="16" t="n">
        <x:v>2435</x:v>
      </x:c>
      <x:c r="E4" s="18" t="n">
        <x:v>262221.8333333333</x:v>
      </x:c>
      <x:c r="F4" s="18" t="n">
        <x:v>259725.66666666663</x:v>
      </x:c>
      <x:c r="G4" s="18" t="n">
        <x:v>155802.75</x:v>
      </x:c>
      <x:c r="H4" s="18" t="n">
        <x:v>153306.58333333334</x:v>
      </x:c>
      <x:c r="I4" s="18" t="n">
        <x:v>0.5941639108363085</x:v>
      </x:c>
      <x:c r="J4" s="18" t="n">
        <x:v>0.5846446170576949</x:v>
      </x:c>
      <x:c r="K4" s="18" t="n">
        <x:v>-0.0095192937786136</x:v>
      </x:c>
      <x:c r="L4" s="18" t="n">
        <x:v>12</x:v>
      </x:c>
      <x:c r="M4" s="16" t="n">
        <x:v>116953</x:v>
      </x:c>
      <x:c r="N4" s="16" t="n">
        <x:v>0</x:v>
      </x:c>
      <x:c r="O4" s="16" t="n">
        <x:v>0</x:v>
      </x:c>
      <x:c r="P4" s="18" t="n">
        <x:v>0.5941639108363085</x:v>
      </x:c>
      <x:c r="Q4" s="18" t="n">
        <x:v>0.5846446170576949</x:v>
      </x:c>
      <x:c r="R4" s="18" t="n">
        <x:v>0</x:v>
      </x:c>
      <x:c r="S4" s="18" t="n">
        <x:v>0</x:v>
      </x:c>
      <x:c r="T4" s="18" t="n">
        <x:v>0</x:v>
      </x:c>
      <x:c r="U4" s="8" t="str">
        <x:v>cuff_cadence</x:v>
      </x:c>
      <x:c r="V4" s="18" t="n">
        <x:v>0</x:v>
      </x:c>
      <x:c r="W4" s="8"/>
      <x:c r="X4" s="28" t="b">
        <x:v>1</x:v>
      </x:c>
      <x:c r="Y4" s="8" t="str">
        <x:v>hypothesis-generating monitoring policy scenario</x:v>
      </x:c>
      <x:c r="Z4" s="8" t="str">
        <x:v>start_anchored_offset_0</x:v>
      </x:c>
      <x:c r="AA4" s="8" t="str">
        <x:v>same 2435-case primary arterial-series cohort</x:v>
      </x:c>
      <x:c r="AB4" s="8" t="str">
        <x:v>fixed_5min_reference under the same start-anchored convention</x:v>
      </x:c>
    </x:row>
    <x:row r="5">
      <x:c r="A5" s="8" t="str">
        <x:v>induction_intensified_first20min</x:v>
      </x:c>
      <x:c r="B5" s="8" t="str">
        <x:v>1-min sampling for first 20 min, then 5-min</x:v>
      </x:c>
      <x:c r="C5" s="16" t="n">
        <x:v>65</x:v>
      </x:c>
      <x:c r="D5" s="16" t="n">
        <x:v>2435</x:v>
      </x:c>
      <x:c r="E5" s="18" t="n">
        <x:v>262221.8333333333</x:v>
      </x:c>
      <x:c r="F5" s="18" t="n">
        <x:v>267720.4166666666</x:v>
      </x:c>
      <x:c r="G5" s="18" t="n">
        <x:v>133556.5</x:v>
      </x:c>
      <x:c r="H5" s="18" t="n">
        <x:v>139055.0833333333</x:v>
      </x:c>
      <x:c r="I5" s="18" t="n">
        <x:v>0.5093263909501561</x:v>
      </x:c>
      <x:c r="J5" s="18" t="n">
        <x:v>0.5302955957773666</x:v>
      </x:c>
      <x:c r="K5" s="18" t="n">
        <x:v>0.0209692048272104</x:v>
      </x:c>
      <x:c r="L5" s="18" t="n">
        <x:v>16.95111477605436</x:v>
      </x:c>
      <x:c r="M5" s="16" t="n">
        <x:v>155913</x:v>
      </x:c>
      <x:c r="N5" s="16" t="n">
        <x:v>0</x:v>
      </x:c>
      <x:c r="O5" s="16" t="n">
        <x:v>0</x:v>
      </x:c>
      <x:c r="P5" s="18" t="n">
        <x:v>0.5093263909501561</x:v>
      </x:c>
      <x:c r="Q5" s="18" t="n">
        <x:v>0.5302955957773666</x:v>
      </x:c>
      <x:c r="R5" s="18" t="n">
        <x:v>0.0848375198861524</x:v>
      </x:c>
      <x:c r="S5" s="18" t="n">
        <x:v>0.1427847069451598</x:v>
      </x:c>
      <x:c r="T5" s="18" t="n">
        <x:v>4.951114776054361</x:v>
      </x:c>
      <x:c r="U5" s="8" t="str">
        <x:v>cuff_cadence</x:v>
      </x:c>
      <x:c r="V5" s="18" t="n">
        <x:v>4.951114776054361</x:v>
      </x:c>
      <x:c r="W5" s="8"/>
      <x:c r="X5" s="28" t="b">
        <x:v>1</x:v>
      </x:c>
      <x:c r="Y5" s="8" t="str">
        <x:v>hypothesis-generating monitoring policy scenario</x:v>
      </x:c>
      <x:c r="Z5" s="8" t="str">
        <x:v>start_anchored_offset_0</x:v>
      </x:c>
      <x:c r="AA5" s="8" t="str">
        <x:v>same 2435-case primary arterial-series cohort</x:v>
      </x:c>
      <x:c r="AB5" s="8" t="str">
        <x:v>fixed_5min_reference under the same start-anchored convention</x:v>
      </x:c>
    </x:row>
    <x:row r="6">
      <x:c r="A6" s="8" t="str">
        <x:v>selective_continuous_top20_oof</x:v>
      </x:c>
      <x:c r="B6" s="8" t="str">
        <x:v>OOF high-hidden-risk top 20 percent continuous reference, others 5-min</x:v>
      </x:c>
      <x:c r="C6" s="16" t="n">
        <x:v>65</x:v>
      </x:c>
      <x:c r="D6" s="16" t="n">
        <x:v>2435</x:v>
      </x:c>
      <x:c r="E6" s="18" t="n">
        <x:v>262221.8333333333</x:v>
      </x:c>
      <x:c r="F6" s="18" t="n">
        <x:v>262448.1666666666</x:v>
      </x:c>
      <x:c r="G6" s="18" t="n">
        <x:v>103189.5</x:v>
      </x:c>
      <x:c r="H6" s="18" t="n">
        <x:v>103415.83333333331</x:v>
      </x:c>
      <x:c r="I6" s="18" t="n">
        <x:v>0.3935198632709837</x:v>
      </x:c>
      <x:c r="J6" s="18" t="n">
        <x:v>0.3943830001442799</x:v>
      </x:c>
      <x:c r="K6" s="18" t="n">
        <x:v>0.0008631368732961</x:v>
      </x:c>
      <x:c r="L6" s="18" t="n">
        <x:v>12</x:v>
      </x:c>
      <x:c r="M6" s="16" t="n">
        <x:v>1175731</x:v>
      </x:c>
      <x:c r="N6" s="16" t="n">
        <x:v>0</x:v>
      </x:c>
      <x:c r="O6" s="16" t="n">
        <x:v>487</x:v>
      </x:c>
      <x:c r="P6" s="18" t="n">
        <x:v>0.3935198632709837</x:v>
      </x:c>
      <x:c r="Q6" s="18" t="n">
        <x:v>0.3943830001442799</x:v>
      </x:c>
      <x:c r="R6" s="18" t="n">
        <x:v>0.2006440475653247</x:v>
      </x:c>
      <x:c r="S6" s="18" t="n">
        <x:v>0.3376914078859326</x:v>
      </x:c>
      <x:c r="T6" s="18" t="n">
        <x:v>0</x:v>
      </x:c>
      <x:c r="U6" s="8" t="str">
        <x:v>modality_change</x:v>
      </x:c>
      <x:c r="V6" s="18"/>
      <x:c r="W6" s="8" t="str">
        <x:v>Continuous/reference monitoring changes device/staffing/insertion burden; not comparable as zero-cost cuff cadence.</x:v>
      </x:c>
      <x:c r="X6" s="28" t="b">
        <x:v>0</x:v>
      </x:c>
      <x:c r="Y6" s="8" t="str">
        <x:v>hypothesis-generating monitoring policy scenario</x:v>
      </x:c>
      <x:c r="Z6" s="8" t="str">
        <x:v>start_anchored_offset_0</x:v>
      </x:c>
      <x:c r="AA6" s="8" t="str">
        <x:v>same 2435-case primary arterial-series cohort</x:v>
      </x:c>
      <x:c r="AB6" s="8" t="str">
        <x:v>fixed_5min_reference under the same start-anchored convention</x:v>
      </x:c>
    </x:row>
    <x:row r="7">
      <x:c r="A7" s="8" t="str">
        <x:v>threshold_triggered_adaptive</x:v>
      </x:c>
      <x:c r="B7" s="8" t="str">
        <x:v>Rule-based 1-min escalation after displayed MAP &lt;70</x:v>
      </x:c>
      <x:c r="C7" s="16" t="n">
        <x:v>65</x:v>
      </x:c>
      <x:c r="D7" s="16" t="n">
        <x:v>2435</x:v>
      </x:c>
      <x:c r="E7" s="18" t="n">
        <x:v>262221.8333333333</x:v>
      </x:c>
      <x:c r="F7" s="18" t="n">
        <x:v>191500.41666666663</x:v>
      </x:c>
      <x:c r="G7" s="18" t="n">
        <x:v>117483.91666666666</x:v>
      </x:c>
      <x:c r="H7" s="18" t="n">
        <x:v>46762.5</x:v>
      </x:c>
      <x:c r="I7" s="18" t="n">
        <x:v>0.4480325500482733</x:v>
      </x:c>
      <x:c r="J7" s="18" t="n">
        <x:v>0.1783318322717851</x:v>
      </x:c>
      <x:c r="K7" s="18" t="n">
        <x:v>-0.2697007177764882</x:v>
      </x:c>
      <x:c r="L7" s="18" t="n">
        <x:v>20.81970167278465</x:v>
      </x:c>
      <x:c r="M7" s="16" t="n">
        <x:v>202242</x:v>
      </x:c>
      <x:c r="N7" s="16" t="n">
        <x:v>65982</x:v>
      </x:c>
      <x:c r="O7" s="16" t="n">
        <x:v>0</x:v>
      </x:c>
      <x:c r="P7" s="18" t="n">
        <x:v>0.4480325500482733</x:v>
      </x:c>
      <x:c r="Q7" s="18" t="n">
        <x:v>0.1783318322717851</x:v>
      </x:c>
      <x:c r="R7" s="18" t="n">
        <x:v>0.1461313607880351</x:v>
      </x:c>
      <x:c r="S7" s="18" t="n">
        <x:v>0.245944524941526</x:v>
      </x:c>
      <x:c r="T7" s="18" t="n">
        <x:v>8.81970167278465</x:v>
      </x:c>
      <x:c r="U7" s="8" t="str">
        <x:v>cuff_cadence</x:v>
      </x:c>
      <x:c r="V7" s="18" t="n">
        <x:v>8.81970167278465</x:v>
      </x:c>
      <x:c r="W7" s="8"/>
      <x:c r="X7" s="28" t="b">
        <x:v>1</x:v>
      </x:c>
      <x:c r="Y7" s="8" t="str">
        <x:v>hypothesis-generating monitoring policy scenario</x:v>
      </x:c>
      <x:c r="Z7" s="8" t="str">
        <x:v>start_anchored_offset_0</x:v>
      </x:c>
      <x:c r="AA7" s="8" t="str">
        <x:v>same 2435-case primary arterial-series cohort</x:v>
      </x:c>
      <x:c r="AB7" s="8" t="str">
        <x:v>fixed_5min_reference under the same start-anchored convention</x:v>
      </x:c>
    </x:row>
    <x:row r="8">
      <x:c r="A8" s="8" t="str">
        <x:v>trend_triggered_adaptive</x:v>
      </x:c>
      <x:c r="B8" s="8" t="str">
        <x:v>Rule-based 1-min escalation after a &gt;=8-mm Hg fall or MAP &lt;75</x:v>
      </x:c>
      <x:c r="C8" s="16" t="n">
        <x:v>65</x:v>
      </x:c>
      <x:c r="D8" s="16" t="n">
        <x:v>2435</x:v>
      </x:c>
      <x:c r="E8" s="18" t="n">
        <x:v>262221.8333333333</x:v>
      </x:c>
      <x:c r="F8" s="18" t="n">
        <x:v>211240.91666666663</x:v>
      </x:c>
      <x:c r="G8" s="18" t="n">
        <x:v>106251.33333333334</x:v>
      </x:c>
      <x:c r="H8" s="18" t="n">
        <x:v>55270.416666666664</x:v>
      </x:c>
      <x:c r="I8" s="18" t="n">
        <x:v>0.4051963636386749</x:v>
      </x:c>
      <x:c r="J8" s="18" t="n">
        <x:v>0.2107773253053553</x:v>
      </x:c>
      <x:c r="K8" s="18" t="n">
        <x:v>-0.1944190383333196</x:v>
      </x:c>
      <x:c r="L8" s="18" t="n">
        <x:v>27.88529822636406</x:v>
      </x:c>
      <x:c r="M8" s="16" t="n">
        <x:v>271759</x:v>
      </x:c>
      <x:c r="N8" s="16" t="n">
        <x:v>141414</x:v>
      </x:c>
      <x:c r="O8" s="16" t="n">
        <x:v>0</x:v>
      </x:c>
      <x:c r="P8" s="18" t="n">
        <x:v>0.4051963636386749</x:v>
      </x:c>
      <x:c r="Q8" s="18" t="n">
        <x:v>0.2107773253053553</x:v>
      </x:c>
      <x:c r="R8" s="18" t="n">
        <x:v>0.1889675471976335</x:v>
      </x:c>
      <x:c r="S8" s="18" t="n">
        <x:v>0.3180394227102324</x:v>
      </x:c>
      <x:c r="T8" s="18" t="n">
        <x:v>15.88529822636406</x:v>
      </x:c>
      <x:c r="U8" s="8" t="str">
        <x:v>cuff_cadence</x:v>
      </x:c>
      <x:c r="V8" s="18" t="n">
        <x:v>15.88529822636406</x:v>
      </x:c>
      <x:c r="W8" s="8"/>
      <x:c r="X8" s="28" t="b">
        <x:v>1</x:v>
      </x:c>
      <x:c r="Y8" s="8" t="str">
        <x:v>hypothesis-generating monitoring policy scenario</x:v>
      </x:c>
      <x:c r="Z8" s="8" t="str">
        <x:v>start_anchored_offset_0</x:v>
      </x:c>
      <x:c r="AA8" s="8" t="str">
        <x:v>same 2435-case primary arterial-series cohort</x:v>
      </x:c>
      <x:c r="AB8" s="8" t="str">
        <x:v>fixed_5min_reference under the same start-anchored convention</x:v>
      </x:c>
    </x:row>
    <x:row r="9">
      <x:c r="A9" s="8" t="str">
        <x:v>universal_1min_proxy</x:v>
      </x:c>
      <x:c r="B9" s="8" t="str">
        <x:v>Fixed every 1 min proxy</x:v>
      </x:c>
      <x:c r="C9" s="16" t="n">
        <x:v>65</x:v>
      </x:c>
      <x:c r="D9" s="16" t="n">
        <x:v>2435</x:v>
      </x:c>
      <x:c r="E9" s="18" t="n">
        <x:v>262221.8333333333</x:v>
      </x:c>
      <x:c r="F9" s="18" t="n">
        <x:v>258547.5</x:v>
      </x:c>
      <x:c r="G9" s="18" t="n">
        <x:v>79110.08333333331</x:v>
      </x:c>
      <x:c r="H9" s="18" t="n">
        <x:v>75435.75</x:v>
      </x:c>
      <x:c r="I9" s="18" t="n">
        <x:v>0.3016914431864623</x:v>
      </x:c>
      <x:c r="J9" s="18" t="n">
        <x:v>0.2876791342699025</x:v>
      </x:c>
      <x:c r="K9" s="18" t="n">
        <x:v>-0.0140123089165597</x:v>
      </x:c>
      <x:c r="L9" s="18" t="n">
        <x:v>60</x:v>
      </x:c>
      <x:c r="M9" s="16" t="n">
        <x:v>580271</x:v>
      </x:c>
      <x:c r="N9" s="16" t="n">
        <x:v>0</x:v>
      </x:c>
      <x:c r="O9" s="16" t="n">
        <x:v>0</x:v>
      </x:c>
      <x:c r="P9" s="18" t="n">
        <x:v>0.3016914431864623</x:v>
      </x:c>
      <x:c r="Q9" s="18" t="n">
        <x:v>0.2876791342699025</x:v>
      </x:c>
      <x:c r="R9" s="18" t="n">
        <x:v>0.2924724676498462</x:v>
      </x:c>
      <x:c r="S9" s="18" t="n">
        <x:v>0.4922420603401845</x:v>
      </x:c>
      <x:c r="T9" s="18" t="n">
        <x:v>48</x:v>
      </x:c>
      <x:c r="U9" s="8" t="str">
        <x:v>cuff_cadence</x:v>
      </x:c>
      <x:c r="V9" s="18" t="n">
        <x:v>48</x:v>
      </x:c>
      <x:c r="W9" s="8"/>
      <x:c r="X9" s="28" t="b">
        <x:v>1</x:v>
      </x:c>
      <x:c r="Y9" s="8" t="str">
        <x:v>hypothesis-generating monitoring policy scenario</x:v>
      </x:c>
      <x:c r="Z9" s="8" t="str">
        <x:v>start_anchored_offset_0</x:v>
      </x:c>
      <x:c r="AA9" s="8" t="str">
        <x:v>same 2435-case primary arterial-series cohort</x:v>
      </x:c>
      <x:c r="AB9" s="8" t="str">
        <x:v>fixed_5min_reference under the same start-anchored convention</x:v>
      </x:c>
    </x:row>
    <x:row r="10">
      <x:c r="A10" s="8" t="str">
        <x:v>universal_continuous_reference</x:v>
      </x:c>
      <x:c r="B10" s="8" t="str">
        <x:v>All cases continuously observed; theoretical upper reference</x:v>
      </x:c>
      <x:c r="C10" s="16" t="n">
        <x:v>65</x:v>
      </x:c>
      <x:c r="D10" s="16" t="n">
        <x:v>2435</x:v>
      </x:c>
      <x:c r="E10" s="18" t="n">
        <x:v>262221.8333333333</x:v>
      </x:c>
      <x:c r="F10" s="18" t="n">
        <x:v>262221.8333333333</x:v>
      </x:c>
      <x:c r="G10" s="18" t="n">
        <x:v>0</x:v>
      </x:c>
      <x:c r="H10" s="18" t="n">
        <x:v>0</x:v>
      </x:c>
      <x:c r="I10" s="18" t="n">
        <x:v>0</x:v>
      </x:c>
      <x:c r="J10" s="18" t="n">
        <x:v>0</x:v>
      </x:c>
      <x:c r="K10" s="18" t="n">
        <x:v>0</x:v>
      </x:c>
      <x:c r="L10" s="18"/>
      <x:c r="M10" s="16" t="n">
        <x:v>3476213</x:v>
      </x:c>
      <x:c r="N10" s="16" t="n">
        <x:v>0</x:v>
      </x:c>
      <x:c r="O10" s="16" t="n">
        <x:v>2435</x:v>
      </x:c>
      <x:c r="P10" s="18" t="n">
        <x:v>0</x:v>
      </x:c>
      <x:c r="Q10" s="18" t="n">
        <x:v>0</x:v>
      </x:c>
      <x:c r="R10" s="18" t="n">
        <x:v>0.5941639108363085</x:v>
      </x:c>
      <x:c r="S10" s="18" t="n">
        <x:v>1</x:v>
      </x:c>
      <x:c r="T10" s="18"/>
      <x:c r="U10" s="8" t="str">
        <x:v>modality_change</x:v>
      </x:c>
      <x:c r="V10" s="18"/>
      <x:c r="W10" s="8" t="str">
        <x:v>Continuous/reference monitoring changes device/staffing/insertion burden; not comparable as zero-cost cuff cadence.</x:v>
      </x:c>
      <x:c r="X10" s="28" t="b">
        <x:v>1</x:v>
      </x:c>
      <x:c r="Y10" s="8" t="str">
        <x:v>hypothesis-generating monitoring policy scenario</x:v>
      </x:c>
      <x:c r="Z10" s="8" t="str">
        <x:v>start_anchored_offset_0</x:v>
      </x:c>
      <x:c r="AA10" s="8" t="str">
        <x:v>same 2435-case primary arterial-series cohort</x:v>
      </x:c>
      <x:c r="AB10" s="8" t="str">
        <x:v>fixed_5min_reference under the same start-anchored convention</x:v>
      </x:c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28" hidden="0" customWidth="1"/>
    <x:col min="5" max="5" width="28" hidden="0" customWidth="1"/>
    <x:col min="6" max="6" width="23" hidden="0" customWidth="1"/>
    <x:col min="7" max="7" width="33" hidden="0" customWidth="1"/>
    <x:col min="8" max="8" width="34" hidden="0" customWidth="1"/>
    <x:col min="9" max="9" width="34" hidden="0" customWidth="1"/>
  </x:cols>
  <x:sheetData>
    <x:row r="1" ht="32" customHeight="1">
      <x:c r="A1" s="14" t="str">
        <x:v>strategy</x:v>
      </x:c>
      <x:c r="B1" s="14" t="str">
        <x:v>interval_min</x:v>
      </x:c>
      <x:c r="C1" s="14" t="str">
        <x:v>n_cases</x:v>
      </x:c>
      <x:c r="D1" s="14" t="str">
        <x:v>phase_averaged_primary_HDR</x:v>
      </x:c>
      <x:c r="E1" s="14" t="str">
        <x:v>start_anchored_offset0_HDR</x:v>
      </x:c>
      <x:c r="F1" s="14" t="str">
        <x:v>strategy_frontier_HDR</x:v>
      </x:c>
      <x:c r="G1" s="14" t="str">
        <x:v>strategy_matches_start_anchored</x:v>
      </x:c>
      <x:c r="H1" s="14" t="str">
        <x:v>absolute_difference_from_phase_average</x:v>
      </x:c>
      <x:c r="I1" s="14" t="str">
        <x:v>phase_convention</x:v>
      </x:c>
    </x:row>
    <x:row r="2">
      <x:c r="A2" s="8" t="str">
        <x:v>fixed_5min_reference</x:v>
      </x:c>
      <x:c r="B2" s="18" t="n">
        <x:v>5</x:v>
      </x:c>
      <x:c r="C2" s="16" t="n">
        <x:v>2435</x:v>
      </x:c>
      <x:c r="D2" s="18" t="n">
        <x:v>0.5974247419434733</x:v>
      </x:c>
      <x:c r="E2" s="18" t="n">
        <x:v>0.5941639108363085</x:v>
      </x:c>
      <x:c r="F2" s="18" t="n">
        <x:v>0.5941639108363085</x:v>
      </x:c>
      <x:c r="G2" s="28" t="b">
        <x:v>1</x:v>
      </x:c>
      <x:c r="H2" s="18" t="n">
        <x:v>-0.0032608311071647966</x:v>
      </x:c>
      <x:c r="I2" s="8" t="str">
        <x:v>start-anchored offset 0 for all strategy-frontier comparisons</x:v>
      </x:c>
    </x:row>
    <x:row r="3">
      <x:c r="A3" s="8" t="str">
        <x:v>fixed_3min</x:v>
      </x:c>
      <x:c r="B3" s="18" t="n">
        <x:v>3</x:v>
      </x:c>
      <x:c r="C3" s="16" t="n">
        <x:v>2435</x:v>
      </x:c>
      <x:c r="D3" s="18" t="n">
        <x:v>0.5032210323193276</x:v>
      </x:c>
      <x:c r="E3" s="18" t="n">
        <x:v>0.5000715043433327</x:v>
      </x:c>
      <x:c r="F3" s="18" t="n">
        <x:v>0.5000715043433327</x:v>
      </x:c>
      <x:c r="G3" s="28" t="b">
        <x:v>1</x:v>
      </x:c>
      <x:c r="H3" s="18" t="n">
        <x:v>-0.0031495279759948813</x:v>
      </x:c>
      <x:c r="I3" s="8" t="str">
        <x:v>start-anchored offset 0 for all strategy-frontier comparisons</x:v>
      </x:c>
    </x:row>
    <x:row r="4">
      <x:c r="A4" s="8" t="str">
        <x:v>fixed_2_5min</x:v>
      </x:c>
      <x:c r="B4" s="18" t="n">
        <x:v>2.5</x:v>
      </x:c>
      <x:c r="C4" s="16" t="n">
        <x:v>2435</x:v>
      </x:c>
      <x:c r="D4" s="18" t="n">
        <x:v>0.4689943607967215</x:v>
      </x:c>
      <x:c r="E4" s="18" t="n">
        <x:v>0.4663545051867662</x:v>
      </x:c>
      <x:c r="F4" s="18" t="n">
        <x:v>0.4663545051867662</x:v>
      </x:c>
      <x:c r="G4" s="28" t="b">
        <x:v>1</x:v>
      </x:c>
      <x:c r="H4" s="18" t="n">
        <x:v>-0.0026398556099553327</x:v>
      </x:c>
      <x:c r="I4" s="8" t="str">
        <x:v>start-anchored offset 0 for all strategy-frontier comparisons</x:v>
      </x:c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6" hidden="0" customWidth="1"/>
    <x:col min="3" max="3" width="34" hidden="0" customWidth="1"/>
  </x:cols>
  <x:sheetData>
    <x:row r="1" ht="32" customHeight="1">
      <x:c r="A1" s="14" t="str">
        <x:v>section</x:v>
      </x:c>
      <x:c r="B1" s="14" t="str">
        <x:v>parameter</x:v>
      </x:c>
      <x:c r="C1" s="14" t="str">
        <x:v>value</x:v>
      </x:c>
    </x:row>
    <x:row r="2">
      <x:c r="A2" s="8" t="str">
        <x:v>strategy</x:v>
      </x:c>
      <x:c r="B2" s="8" t="str">
        <x:v>phase_convention</x:v>
      </x:c>
      <x:c r="C2" s="8" t="str">
        <x:v>start_anchored_offset_0</x:v>
      </x:c>
    </x:row>
    <x:row r="3">
      <x:c r="A3" s="8" t="str">
        <x:v>strategy</x:v>
      </x:c>
      <x:c r="B3" s="8" t="str">
        <x:v>baseline_interval_min</x:v>
      </x:c>
      <x:c r="C3" s="8" t="n">
        <x:v>5</x:v>
      </x:c>
    </x:row>
    <x:row r="4">
      <x:c r="A4" s="8" t="str">
        <x:v>strategy</x:v>
      </x:c>
      <x:c r="B4" s="8" t="str">
        <x:v>fixed_intervals_min</x:v>
      </x:c>
      <x:c r="C4" s="8" t="str">
        <x:v>[3, 2.5]</x:v>
      </x:c>
    </x:row>
    <x:row r="5">
      <x:c r="A5" s="8" t="str">
        <x:v>induction_intensified</x:v>
      </x:c>
      <x:c r="B5" s="8" t="str">
        <x:v>induction_window_min</x:v>
      </x:c>
      <x:c r="C5" s="8" t="n">
        <x:v>20</x:v>
      </x:c>
    </x:row>
    <x:row r="6">
      <x:c r="A6" s="8" t="str">
        <x:v>induction_intensified</x:v>
      </x:c>
      <x:c r="B6" s="8" t="str">
        <x:v>induction_interval_min</x:v>
      </x:c>
      <x:c r="C6" s="8" t="n">
        <x:v>1</x:v>
      </x:c>
    </x:row>
    <x:row r="7">
      <x:c r="A7" s="8" t="str">
        <x:v>induction_intensified</x:v>
      </x:c>
      <x:c r="B7" s="8" t="str">
        <x:v>maintenance_interval_min</x:v>
      </x:c>
      <x:c r="C7" s="8" t="n">
        <x:v>5</x:v>
      </x:c>
    </x:row>
    <x:row r="8">
      <x:c r="A8" s="8" t="str">
        <x:v>threshold_triggered_adaptive</x:v>
      </x:c>
      <x:c r="B8" s="8" t="str">
        <x:v>baseline_interval_min</x:v>
      </x:c>
      <x:c r="C8" s="8" t="n">
        <x:v>5</x:v>
      </x:c>
    </x:row>
    <x:row r="9">
      <x:c r="A9" s="8" t="str">
        <x:v>threshold_triggered_adaptive</x:v>
      </x:c>
      <x:c r="B9" s="8" t="str">
        <x:v>intensified_interval_min</x:v>
      </x:c>
      <x:c r="C9" s="8" t="n">
        <x:v>1</x:v>
      </x:c>
    </x:row>
    <x:row r="10">
      <x:c r="A10" s="8" t="str">
        <x:v>threshold_triggered_adaptive</x:v>
      </x:c>
      <x:c r="B10" s="8" t="str">
        <x:v>trigger_visible_map_lt</x:v>
      </x:c>
      <x:c r="C10" s="8" t="n">
        <x:v>70</x:v>
      </x:c>
    </x:row>
    <x:row r="11">
      <x:c r="A11" s="8" t="str">
        <x:v>threshold_triggered_adaptive</x:v>
      </x:c>
      <x:c r="B11" s="8" t="str">
        <x:v>intensify_for_min</x:v>
      </x:c>
      <x:c r="C11" s="8" t="n">
        <x:v>5</x:v>
      </x:c>
    </x:row>
    <x:row r="12">
      <x:c r="A12" s="8" t="str">
        <x:v>threshold_triggered_adaptive</x:v>
      </x:c>
      <x:c r="B12" s="8" t="str">
        <x:v>retrigger_extends_window</x:v>
      </x:c>
      <x:c r="C12" s="28" t="b">
        <x:v>1</x:v>
      </x:c>
    </x:row>
    <x:row r="13">
      <x:c r="A13" s="8" t="str">
        <x:v>trend_triggered_adaptive</x:v>
      </x:c>
      <x:c r="B13" s="8" t="str">
        <x:v>baseline_interval_min</x:v>
      </x:c>
      <x:c r="C13" s="8" t="n">
        <x:v>5</x:v>
      </x:c>
    </x:row>
    <x:row r="14">
      <x:c r="A14" s="8" t="str">
        <x:v>trend_triggered_adaptive</x:v>
      </x:c>
      <x:c r="B14" s="8" t="str">
        <x:v>intensified_interval_min</x:v>
      </x:c>
      <x:c r="C14" s="8" t="n">
        <x:v>1</x:v>
      </x:c>
    </x:row>
    <x:row r="15">
      <x:c r="A15" s="8" t="str">
        <x:v>trend_triggered_adaptive</x:v>
      </x:c>
      <x:c r="B15" s="8" t="str">
        <x:v>trigger_drop_mmHg</x:v>
      </x:c>
      <x:c r="C15" s="8" t="n">
        <x:v>8</x:v>
      </x:c>
    </x:row>
    <x:row r="16">
      <x:c r="A16" s="8" t="str">
        <x:v>trend_triggered_adaptive</x:v>
      </x:c>
      <x:c r="B16" s="8" t="str">
        <x:v>trigger_visible_map_lt</x:v>
      </x:c>
      <x:c r="C16" s="8" t="n">
        <x:v>75</x:v>
      </x:c>
    </x:row>
    <x:row r="17">
      <x:c r="A17" s="8" t="str">
        <x:v>trend_triggered_adaptive</x:v>
      </x:c>
      <x:c r="B17" s="8" t="str">
        <x:v>intensify_for_min</x:v>
      </x:c>
      <x:c r="C17" s="8" t="n">
        <x:v>3</x:v>
      </x:c>
    </x:row>
    <x:row r="18">
      <x:c r="A18" s="8" t="str">
        <x:v>trend_triggered_adaptive</x:v>
      </x:c>
      <x:c r="B18" s="8" t="str">
        <x:v>retrigger_extends_window</x:v>
      </x:c>
      <x:c r="C18" s="28" t="b">
        <x:v>1</x:v>
      </x:c>
    </x:row>
    <x:row r="19">
      <x:c r="A19" s="8" t="str">
        <x:v>selective_continuous</x:v>
      </x:c>
      <x:c r="B19" s="8" t="str">
        <x:v>outcome</x:v>
      </x:c>
      <x:c r="C19" s="8" t="str">
        <x:v>hidden_auc_at_map_65_under_phase_averaged_fixed_5min</x:v>
      </x:c>
    </x:row>
    <x:row r="20">
      <x:c r="A20" s="8" t="str">
        <x:v>selective_continuous</x:v>
      </x:c>
      <x:c r="B20" s="8" t="str">
        <x:v>high_risk_definition</x:v>
      </x:c>
      <x:c r="C20" s="8" t="str">
        <x:v>at_or_above_80th_percentile</x:v>
      </x:c>
    </x:row>
    <x:row r="21">
      <x:c r="A21" s="8" t="str">
        <x:v>selective_continuous</x:v>
      </x:c>
      <x:c r="B21" s="8" t="str">
        <x:v>predictors</x:v>
      </x:c>
      <x:c r="C21" s="8" t="str">
        <x:v>["age", "asa", "emergency_status", "anaesthesia_duration", "sex", "department", "procedure_type"]</x:v>
      </x:c>
    </x:row>
    <x:row r="22">
      <x:c r="A22" s="8" t="str">
        <x:v>selective_continuous</x:v>
      </x:c>
      <x:c r="B22" s="8" t="str">
        <x:v>model</x:v>
      </x:c>
      <x:c r="C22" s="8" t="str">
        <x:v>logistic_regression</x:v>
      </x:c>
    </x:row>
    <x:row r="23">
      <x:c r="A23" s="8" t="str">
        <x:v>selective_continuous</x:v>
      </x:c>
      <x:c r="B23" s="8" t="str">
        <x:v>solver</x:v>
      </x:c>
      <x:c r="C23" s="8" t="str">
        <x:v>liblinear</x:v>
      </x:c>
    </x:row>
    <x:row r="24">
      <x:c r="A24" s="8" t="str">
        <x:v>selective_continuous</x:v>
      </x:c>
      <x:c r="B24" s="8" t="str">
        <x:v>class_weight</x:v>
      </x:c>
      <x:c r="C24" s="8" t="str">
        <x:v>balanced</x:v>
      </x:c>
    </x:row>
    <x:row r="25">
      <x:c r="A25" s="8" t="str">
        <x:v>selective_continuous</x:v>
      </x:c>
      <x:c r="B25" s="8" t="str">
        <x:v>max_iter</x:v>
      </x:c>
      <x:c r="C25" s="8" t="n">
        <x:v>1000</x:v>
      </x:c>
    </x:row>
    <x:row r="26">
      <x:c r="A26" s="8" t="str">
        <x:v>selective_continuous</x:v>
      </x:c>
      <x:c r="B26" s="8" t="str">
        <x:v>cross_validation</x:v>
      </x:c>
      <x:c r="C26" s="8" t="str">
        <x:v>stratified_5_fold_out_of_fold</x:v>
      </x:c>
    </x:row>
    <x:row r="27">
      <x:c r="A27" s="8" t="str">
        <x:v>selective_continuous</x:v>
      </x:c>
      <x:c r="B27" s="8" t="str">
        <x:v>seed</x:v>
      </x:c>
      <x:c r="C27" s="8" t="n">
        <x:v>20260706</x:v>
      </x:c>
    </x:row>
    <x:row r="28">
      <x:c r="A28" s="8" t="str">
        <x:v>selective_continuous</x:v>
      </x:c>
      <x:c r="B28" s="8" t="str">
        <x:v>rank_cutoffs</x:v>
      </x:c>
      <x:c r="C28" s="8" t="str">
        <x:v>[0.05, 0.1, 0.2, 0.3, 0.5]</x:v>
      </x:c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17" hidden="0" customWidth="1"/>
    <x:col min="4" max="4" width="20" hidden="0" customWidth="1"/>
    <x:col min="5" max="5" width="19" hidden="0" customWidth="1"/>
    <x:col min="6" max="6" width="17" hidden="0" customWidth="1"/>
    <x:col min="7" max="7" width="21" hidden="0" customWidth="1"/>
    <x:col min="8" max="8" width="22" hidden="0" customWidth="1"/>
    <x:col min="9" max="9" width="15" hidden="0" customWidth="1"/>
    <x:col min="10" max="10" width="10" hidden="0" customWidth="1"/>
    <x:col min="11" max="11" width="22" hidden="0" customWidth="1"/>
    <x:col min="12" max="12" width="16" hidden="0" customWidth="1"/>
    <x:col min="13" max="13" width="10" hidden="0" customWidth="1"/>
    <x:col min="14" max="14" width="18" hidden="0" customWidth="1"/>
    <x:col min="15" max="15" width="34" hidden="0" customWidth="1"/>
    <x:col min="16" max="16" width="34" hidden="0" customWidth="1"/>
    <x:col min="17" max="17" width="26" hidden="0" customWidth="1"/>
    <x:col min="18" max="18" width="32" hidden="0" customWidth="1"/>
    <x:col min="19" max="19" width="23" hidden="0" customWidth="1"/>
    <x:col min="20" max="20" width="21" hidden="0" customWidth="1"/>
    <x:col min="21" max="21" width="20" hidden="0" customWidth="1"/>
    <x:col min="22" max="22" width="27" hidden="0" customWidth="1"/>
    <x:col min="23" max="23" width="30" hidden="0" customWidth="1"/>
    <x:col min="24" max="24" width="21" hidden="0" customWidth="1"/>
    <x:col min="25" max="25" width="20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n_cases_episode</x:v>
      </x:c>
      <x:c r="D1" s="14" t="str">
        <x:v>reference_episodes</x:v>
      </x:c>
      <x:c r="E1" s="14" t="str">
        <x:v>detected_episodes</x:v>
      </x:c>
      <x:c r="F1" s="14" t="str">
        <x:v>missed_episodes</x:v>
      </x:c>
      <x:c r="G1" s="14" t="str">
        <x:v>median_delay_min</x:v>
      </x:c>
      <x:c r="H1" s="14" t="str">
        <x:v>episode_sensitivity</x:v>
      </x:c>
      <x:c r="I1" s="14" t="str">
        <x:v>n_cases_event</x:v>
      </x:c>
      <x:c r="J1" s="14" t="str">
        <x:v>tp</x:v>
      </x:c>
      <x:c r="K1" s="14" t="str">
        <x:v>fn_false_reassurance</x:v>
      </x:c>
      <x:c r="L1" s="14" t="str">
        <x:v>fp_overdisplay</x:v>
      </x:c>
      <x:c r="M1" s="14" t="str">
        <x:v>tn</x:v>
      </x:c>
      <x:c r="N1" s="14" t="str">
        <x:v>fn_display_valid</x:v>
      </x:c>
      <x:c r="O1" s="14" t="str">
        <x:v>reference_low_display_unavailable</x:v>
      </x:c>
      <x:c r="P1" s="14" t="str">
        <x:v>reference_not_low_display_unavailable</x:v>
      </x:c>
      <x:c r="Q1" s="14" t="str">
        <x:v>display_valid_timepoints</x:v>
      </x:c>
      <x:c r="R1" s="14" t="str">
        <x:v>display_unavailable_timepoints</x:v>
      </x:c>
      <x:c r="S1" s="14" t="str">
        <x:v>actual_display_events</x:v>
      </x:c>
      <x:c r="T1" s="14" t="str">
        <x:v>event_sensitivity</x:v>
      </x:c>
      <x:c r="U1" s="14" t="str">
        <x:v>specificity</x:v>
      </x:c>
      <x:c r="V1" s="14" t="str">
        <x:v>sensitivity_display_valid</x:v>
      </x:c>
      <x:c r="W1" s="14" t="str">
        <x:v>display_unavailable_fraction</x:v>
      </x:c>
      <x:c r="X1" s="14" t="str">
        <x:v>ppv</x:v>
      </x:c>
      <x:c r="Y1" s="14" t="str">
        <x:v>npv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6" t="n">
        <x:v>1733</x:v>
      </x:c>
      <x:c r="E2" s="16" t="n">
        <x:v>42</x:v>
      </x:c>
      <x:c r="F2" s="16" t="n">
        <x:v>1691</x:v>
      </x:c>
      <x:c r="G2" s="18" t="n">
        <x:v>0</x:v>
      </x:c>
      <x:c r="H2" s="18" t="n">
        <x:v>0.024235429890363532</x:v>
      </x:c>
      <x:c r="I2" s="16" t="n">
        <x:v>365</x:v>
      </x:c>
      <x:c r="J2" s="16" t="n">
        <x:v>205</x:v>
      </x:c>
      <x:c r="K2" s="16" t="n">
        <x:v>5966</x:v>
      </x:c>
      <x:c r="L2" s="16" t="n">
        <x:v>3061</x:v>
      </x:c>
      <x:c r="M2" s="16" t="n">
        <x:v>183876</x:v>
      </x:c>
      <x:c r="N2" s="16" t="n">
        <x:v>3013</x:v>
      </x:c>
      <x:c r="O2" s="16" t="n">
        <x:v>2953</x:v>
      </x:c>
      <x:c r="P2" s="16" t="n">
        <x:v>288032</x:v>
      </x:c>
      <x:c r="Q2" s="16" t="n">
        <x:v>190155</x:v>
      </x:c>
      <x:c r="R2" s="16" t="n">
        <x:v>290985</x:v>
      </x:c>
      <x:c r="S2" s="16" t="n">
        <x:v>13687</x:v>
      </x:c>
      <x:c r="T2" s="18" t="n">
        <x:v>0.03321989953005996</x:v>
      </x:c>
      <x:c r="U2" s="18" t="n">
        <x:v>0.9836254994998315</x:v>
      </x:c>
      <x:c r="V2" s="18" t="n">
        <x:v>0.0637041640770665</x:v>
      </x:c>
      <x:c r="W2" s="18" t="n">
        <x:v>0.6047823918194288</x:v>
      </x:c>
      <x:c r="X2" s="18" t="n">
        <x:v>0.06276791181873852</x:v>
      </x:c>
      <x:c r="Y2" s="18" t="n">
        <x:v>0.9685738666891415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6" t="n">
        <x:v>1733</x:v>
      </x:c>
      <x:c r="E3" s="16" t="n">
        <x:v>230</x:v>
      </x:c>
      <x:c r="F3" s="16" t="n">
        <x:v>1503</x:v>
      </x:c>
      <x:c r="G3" s="18" t="n">
        <x:v>0.16666666666666666</x:v>
      </x:c>
      <x:c r="H3" s="18" t="n">
        <x:v>0.13271783035199078</x:v>
      </x:c>
      <x:c r="I3" s="16" t="n">
        <x:v>365</x:v>
      </x:c>
      <x:c r="J3" s="16" t="n">
        <x:v>1298</x:v>
      </x:c>
      <x:c r="K3" s="16" t="n">
        <x:v>4873</x:v>
      </x:c>
      <x:c r="L3" s="16" t="n">
        <x:v>1548</x:v>
      </x:c>
      <x:c r="M3" s="16" t="n">
        <x:v>185389</x:v>
      </x:c>
      <x:c r="N3" s="16" t="n">
        <x:v>1920</x:v>
      </x:c>
      <x:c r="O3" s="16" t="n">
        <x:v>2953</x:v>
      </x:c>
      <x:c r="P3" s="16" t="n">
        <x:v>288032</x:v>
      </x:c>
      <x:c r="Q3" s="16" t="n">
        <x:v>190155</x:v>
      </x:c>
      <x:c r="R3" s="16" t="n">
        <x:v>290985</x:v>
      </x:c>
      <x:c r="S3" s="16" t="n">
        <x:v>13687</x:v>
      </x:c>
      <x:c r="T3" s="18" t="n">
        <x:v>0.2103386809269162</x:v>
      </x:c>
      <x:c r="U3" s="18" t="n">
        <x:v>0.9917191353236652</x:v>
      </x:c>
      <x:c r="V3" s="18" t="n">
        <x:v>0.4033561218147918</x:v>
      </x:c>
      <x:c r="W3" s="18" t="n">
        <x:v>0.6047823918194288</x:v>
      </x:c>
      <x:c r="X3" s="18" t="n">
        <x:v>0.4560787069571328</x:v>
      </x:c>
      <x:c r="Y3" s="18" t="n">
        <x:v>0.9743879492489305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6" t="n">
        <x:v>1733</x:v>
      </x:c>
      <x:c r="E4" s="16" t="n">
        <x:v>324</x:v>
      </x:c>
      <x:c r="F4" s="16" t="n">
        <x:v>1409</x:v>
      </x:c>
      <x:c r="G4" s="18" t="n">
        <x:v>0.08333333333333333</x:v>
      </x:c>
      <x:c r="H4" s="18" t="n">
        <x:v>0.1869590305828044</x:v>
      </x:c>
      <x:c r="I4" s="16" t="n">
        <x:v>365</x:v>
      </x:c>
      <x:c r="J4" s="16" t="n">
        <x:v>1865</x:v>
      </x:c>
      <x:c r="K4" s="16" t="n">
        <x:v>4306</x:v>
      </x:c>
      <x:c r="L4" s="16" t="n">
        <x:v>4570</x:v>
      </x:c>
      <x:c r="M4" s="16" t="n">
        <x:v>465904</x:v>
      </x:c>
      <x:c r="N4" s="16" t="n">
        <x:v>3367</x:v>
      </x:c>
      <x:c r="O4" s="16" t="n">
        <x:v>939</x:v>
      </x:c>
      <x:c r="P4" s="16" t="n">
        <x:v>4495</x:v>
      </x:c>
      <x:c r="Q4" s="16" t="n">
        <x:v>475706</x:v>
      </x:c>
      <x:c r="R4" s="16" t="n">
        <x:v>5434</x:v>
      </x:c>
      <x:c r="S4" s="16" t="n">
        <x:v>13687</x:v>
      </x:c>
      <x:c r="T4" s="18" t="n">
        <x:v>0.30222006157835035</x:v>
      </x:c>
      <x:c r="U4" s="18" t="n">
        <x:v>0.9902863920216632</x:v>
      </x:c>
      <x:c r="V4" s="18" t="n">
        <x:v>0.35646024464831805</x:v>
      </x:c>
      <x:c r="W4" s="18" t="n">
        <x:v>0.011294010059442158</x:v>
      </x:c>
      <x:c r="X4" s="18" t="n">
        <x:v>0.2898212898212898</x:v>
      </x:c>
      <x:c r="Y4" s="18" t="n">
        <x:v>0.9908423895706174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6" t="n">
        <x:v>2905</x:v>
      </x:c>
      <x:c r="E5" s="16" t="n">
        <x:v>167</x:v>
      </x:c>
      <x:c r="F5" s="16" t="n">
        <x:v>2738</x:v>
      </x:c>
      <x:c r="G5" s="18" t="n">
        <x:v>0</x:v>
      </x:c>
      <x:c r="H5" s="18" t="n">
        <x:v>0.05748709122203098</x:v>
      </x:c>
      <x:c r="I5" s="16" t="n">
        <x:v>365</x:v>
      </x:c>
      <x:c r="J5" s="16" t="n">
        <x:v>1197</x:v>
      </x:c>
      <x:c r="K5" s="16" t="n">
        <x:v>13705</x:v>
      </x:c>
      <x:c r="L5" s="16" t="n">
        <x:v>9355</x:v>
      </x:c>
      <x:c r="M5" s="16" t="n">
        <x:v>173414</x:v>
      </x:c>
      <x:c r="N5" s="16" t="n">
        <x:v>6189</x:v>
      </x:c>
      <x:c r="O5" s="16" t="n">
        <x:v>7516</x:v>
      </x:c>
      <x:c r="P5" s="16" t="n">
        <x:v>283469</x:v>
      </x:c>
      <x:c r="Q5" s="16" t="n">
        <x:v>190155</x:v>
      </x:c>
      <x:c r="R5" s="16" t="n">
        <x:v>290985</x:v>
      </x:c>
      <x:c r="S5" s="16" t="n">
        <x:v>13687</x:v>
      </x:c>
      <x:c r="T5" s="18" t="n">
        <x:v>0.08032478861897732</x:v>
      </x:c>
      <x:c r="U5" s="18" t="n">
        <x:v>0.9488151710629265</x:v>
      </x:c>
      <x:c r="V5" s="18" t="n">
        <x:v>0.1620633631194151</x:v>
      </x:c>
      <x:c r="W5" s="18" t="n">
        <x:v>0.6047823918194288</x:v>
      </x:c>
      <x:c r="X5" s="18" t="n">
        <x:v>0.11343821076573161</x:v>
      </x:c>
      <x:c r="Y5" s="18" t="n">
        <x:v>0.9267578385946911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6" t="n">
        <x:v>2905</x:v>
      </x:c>
      <x:c r="E6" s="16" t="n">
        <x:v>468</x:v>
      </x:c>
      <x:c r="F6" s="16" t="n">
        <x:v>2437</x:v>
      </x:c>
      <x:c r="G6" s="18" t="n">
        <x:v>0.16666666666666666</x:v>
      </x:c>
      <x:c r="H6" s="18" t="n">
        <x:v>0.16110154905335627</x:v>
      </x:c>
      <x:c r="I6" s="16" t="n">
        <x:v>365</x:v>
      </x:c>
      <x:c r="J6" s="16" t="n">
        <x:v>3870</x:v>
      </x:c>
      <x:c r="K6" s="16" t="n">
        <x:v>11032</x:v>
      </x:c>
      <x:c r="L6" s="16" t="n">
        <x:v>3559</x:v>
      </x:c>
      <x:c r="M6" s="16" t="n">
        <x:v>179210</x:v>
      </x:c>
      <x:c r="N6" s="16" t="n">
        <x:v>3516</x:v>
      </x:c>
      <x:c r="O6" s="16" t="n">
        <x:v>7516</x:v>
      </x:c>
      <x:c r="P6" s="16" t="n">
        <x:v>283469</x:v>
      </x:c>
      <x:c r="Q6" s="16" t="n">
        <x:v>190155</x:v>
      </x:c>
      <x:c r="R6" s="16" t="n">
        <x:v>290985</x:v>
      </x:c>
      <x:c r="S6" s="16" t="n">
        <x:v>13687</x:v>
      </x:c>
      <x:c r="T6" s="18" t="n">
        <x:v>0.25969668500872367</x:v>
      </x:c>
      <x:c r="U6" s="18" t="n">
        <x:v>0.9805273323156553</x:v>
      </x:c>
      <x:c r="V6" s="18" t="n">
        <x:v>0.5239642567018684</x:v>
      </x:c>
      <x:c r="W6" s="18" t="n">
        <x:v>0.6047823918194288</x:v>
      </x:c>
      <x:c r="X6" s="18" t="n">
        <x:v>0.5209314847220353</x:v>
      </x:c>
      <x:c r="Y6" s="18" t="n">
        <x:v>0.9420107021583036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6" t="n">
        <x:v>2905</x:v>
      </x:c>
      <x:c r="E7" s="16" t="n">
        <x:v>784</x:v>
      </x:c>
      <x:c r="F7" s="16" t="n">
        <x:v>2121</x:v>
      </x:c>
      <x:c r="G7" s="18" t="n">
        <x:v>0.08333333333333333</x:v>
      </x:c>
      <x:c r="H7" s="18" t="n">
        <x:v>0.26987951807228916</x:v>
      </x:c>
      <x:c r="I7" s="16" t="n">
        <x:v>365</x:v>
      </x:c>
      <x:c r="J7" s="16" t="n">
        <x:v>6472</x:v>
      </x:c>
      <x:c r="K7" s="16" t="n">
        <x:v>8430</x:v>
      </x:c>
      <x:c r="L7" s="16" t="n">
        <x:v>9077</x:v>
      </x:c>
      <x:c r="M7" s="16" t="n">
        <x:v>452886</x:v>
      </x:c>
      <x:c r="N7" s="16" t="n">
        <x:v>7271</x:v>
      </x:c>
      <x:c r="O7" s="16" t="n">
        <x:v>1159</x:v>
      </x:c>
      <x:c r="P7" s="16" t="n">
        <x:v>4275</x:v>
      </x:c>
      <x:c r="Q7" s="16" t="n">
        <x:v>475706</x:v>
      </x:c>
      <x:c r="R7" s="16" t="n">
        <x:v>5434</x:v>
      </x:c>
      <x:c r="S7" s="16" t="n">
        <x:v>13687</x:v>
      </x:c>
      <x:c r="T7" s="18" t="n">
        <x:v>0.43430412025231513</x:v>
      </x:c>
      <x:c r="U7" s="18" t="n">
        <x:v>0.9803512402508426</x:v>
      </x:c>
      <x:c r="V7" s="18" t="n">
        <x:v>0.47093065560649056</x:v>
      </x:c>
      <x:c r="W7" s="18" t="n">
        <x:v>0.011294010059442158</x:v>
      </x:c>
      <x:c r="X7" s="18" t="n">
        <x:v>0.41623255514824103</x:v>
      </x:c>
      <x:c r="Y7" s="18" t="n">
        <x:v>0.9817261920245558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6" t="n">
        <x:v>5034</x:v>
      </x:c>
      <x:c r="E8" s="16" t="n">
        <x:v>516</x:v>
      </x:c>
      <x:c r="F8" s="16" t="n">
        <x:v>4518</x:v>
      </x:c>
      <x:c r="G8" s="18" t="n">
        <x:v>0</x:v>
      </x:c>
      <x:c r="H8" s="18" t="n">
        <x:v>0.10250297973778308</x:v>
      </x:c>
      <x:c r="I8" s="16" t="n">
        <x:v>365</x:v>
      </x:c>
      <x:c r="J8" s="16" t="n">
        <x:v>4421</x:v>
      </x:c>
      <x:c r="K8" s="16" t="n">
        <x:v>32685</x:v>
      </x:c>
      <x:c r="L8" s="16" t="n">
        <x:v>18306</x:v>
      </x:c>
      <x:c r="M8" s="16" t="n">
        <x:v>154775</x:v>
      </x:c>
      <x:c r="N8" s="16" t="n">
        <x:v>12653</x:v>
      </x:c>
      <x:c r="O8" s="16" t="n">
        <x:v>20032</x:v>
      </x:c>
      <x:c r="P8" s="16" t="n">
        <x:v>270953</x:v>
      </x:c>
      <x:c r="Q8" s="16" t="n">
        <x:v>190155</x:v>
      </x:c>
      <x:c r="R8" s="16" t="n">
        <x:v>290985</x:v>
      </x:c>
      <x:c r="S8" s="16" t="n">
        <x:v>13687</x:v>
      </x:c>
      <x:c r="T8" s="18" t="n">
        <x:v>0.11914515172748343</x:v>
      </x:c>
      <x:c r="U8" s="18" t="n">
        <x:v>0.8942344913653145</x:v>
      </x:c>
      <x:c r="V8" s="18" t="n">
        <x:v>0.2589317090312756</x:v>
      </x:c>
      <x:c r="W8" s="18" t="n">
        <x:v>0.6047823918194288</x:v>
      </x:c>
      <x:c r="X8" s="18" t="n">
        <x:v>0.1945263343160118</x:v>
      </x:c>
      <x:c r="Y8" s="18" t="n">
        <x:v>0.8256428037981436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6" t="n">
        <x:v>5034</x:v>
      </x:c>
      <x:c r="E9" s="16" t="n">
        <x:v>1003</x:v>
      </x:c>
      <x:c r="F9" s="16" t="n">
        <x:v>4031</x:v>
      </x:c>
      <x:c r="G9" s="18" t="n">
        <x:v>0.08333333333333333</x:v>
      </x:c>
      <x:c r="H9" s="18" t="n">
        <x:v>0.1992451330949543</x:v>
      </x:c>
      <x:c r="I9" s="16" t="n">
        <x:v>365</x:v>
      </x:c>
      <x:c r="J9" s="16" t="n">
        <x:v>10645</x:v>
      </x:c>
      <x:c r="K9" s="16" t="n">
        <x:v>26461</x:v>
      </x:c>
      <x:c r="L9" s="16" t="n">
        <x:v>6992</x:v>
      </x:c>
      <x:c r="M9" s="16" t="n">
        <x:v>166089</x:v>
      </x:c>
      <x:c r="N9" s="16" t="n">
        <x:v>6429</x:v>
      </x:c>
      <x:c r="O9" s="16" t="n">
        <x:v>20032</x:v>
      </x:c>
      <x:c r="P9" s="16" t="n">
        <x:v>270953</x:v>
      </x:c>
      <x:c r="Q9" s="16" t="n">
        <x:v>190155</x:v>
      </x:c>
      <x:c r="R9" s="16" t="n">
        <x:v>290985</x:v>
      </x:c>
      <x:c r="S9" s="16" t="n">
        <x:v>13687</x:v>
      </x:c>
      <x:c r="T9" s="18" t="n">
        <x:v>0.2868808278984531</x:v>
      </x:c>
      <x:c r="U9" s="18" t="n">
        <x:v>0.9596027293579307</x:v>
      </x:c>
      <x:c r="V9" s="18" t="n">
        <x:v>0.6234625746749444</x:v>
      </x:c>
      <x:c r="W9" s="18" t="n">
        <x:v>0.6047823918194288</x:v>
      </x:c>
      <x:c r="X9" s="18" t="n">
        <x:v>0.6035606962635369</x:v>
      </x:c>
      <x:c r="Y9" s="18" t="n">
        <x:v>0.862575954297585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6" t="n">
        <x:v>5034</x:v>
      </x:c>
      <x:c r="E10" s="16" t="n">
        <x:v>1762</x:v>
      </x:c>
      <x:c r="F10" s="16" t="n">
        <x:v>3272</x:v>
      </x:c>
      <x:c r="G10" s="18" t="n">
        <x:v>0</x:v>
      </x:c>
      <x:c r="H10" s="18" t="n">
        <x:v>0.35001986491855386</x:v>
      </x:c>
      <x:c r="I10" s="16" t="n">
        <x:v>365</x:v>
      </x:c>
      <x:c r="J10" s="16" t="n">
        <x:v>20585</x:v>
      </x:c>
      <x:c r="K10" s="16" t="n">
        <x:v>16521</x:v>
      </x:c>
      <x:c r="L10" s="16" t="n">
        <x:v>15916</x:v>
      </x:c>
      <x:c r="M10" s="16" t="n">
        <x:v>424154</x:v>
      </x:c>
      <x:c r="N10" s="16" t="n">
        <x:v>15051</x:v>
      </x:c>
      <x:c r="O10" s="16" t="n">
        <x:v>1470</x:v>
      </x:c>
      <x:c r="P10" s="16" t="n">
        <x:v>3964</x:v>
      </x:c>
      <x:c r="Q10" s="16" t="n">
        <x:v>475706</x:v>
      </x:c>
      <x:c r="R10" s="16" t="n">
        <x:v>5434</x:v>
      </x:c>
      <x:c r="S10" s="16" t="n">
        <x:v>13687</x:v>
      </x:c>
      <x:c r="T10" s="18" t="n">
        <x:v>0.5547620330943782</x:v>
      </x:c>
      <x:c r="U10" s="18" t="n">
        <x:v>0.9638330265639558</x:v>
      </x:c>
      <x:c r="V10" s="18" t="n">
        <x:v>0.5776462004714333</x:v>
      </x:c>
      <x:c r="W10" s="18" t="n">
        <x:v>0.011294010059442158</x:v>
      </x:c>
      <x:c r="X10" s="18" t="n">
        <x:v>0.5639571518588532</x:v>
      </x:c>
      <x:c r="Y10" s="18" t="n">
        <x:v>0.9625097861235604</x:v>
      </x:c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0" hidden="0" customWidth="1"/>
    <x:col min="4" max="4" width="11" hidden="0" customWidth="1"/>
    <x:col min="5" max="5" width="20" hidden="0" customWidth="1"/>
  </x:cols>
  <x:sheetData>
    <x:row r="1" ht="32" customHeight="1">
      <x:c r="A1" s="14" t="str">
        <x:v>group</x:v>
      </x:c>
      <x:c r="B1" s="14" t="str">
        <x:v>variable</x:v>
      </x:c>
      <x:c r="C1" s="14" t="str">
        <x:v>n_cases</x:v>
      </x:c>
      <x:c r="D1" s="14" t="str">
        <x:v>statistic</x:v>
      </x:c>
      <x:c r="E1" s="14" t="str">
        <x:v>value</x:v>
      </x:c>
    </x:row>
    <x:row r="2">
      <x:c r="A2" s="8" t="str">
        <x:v>primary_waveform_cohort</x:v>
      </x:c>
      <x:c r="B2" s="8" t="str">
        <x:v>age</x:v>
      </x:c>
      <x:c r="C2" s="16" t="n">
        <x:v>2435</x:v>
      </x:c>
      <x:c r="D2" s="8" t="str">
        <x:v>mean</x:v>
      </x:c>
      <x:c r="E2" s="18" t="n">
        <x:v>61.205338809034906</x:v>
      </x:c>
    </x:row>
    <x:row r="3">
      <x:c r="A3" s="8" t="str">
        <x:v>primary_waveform_cohort</x:v>
      </x:c>
      <x:c r="B3" s="8" t="str">
        <x:v>sex_male</x:v>
      </x:c>
      <x:c r="C3" s="16" t="n">
        <x:v>2435</x:v>
      </x:c>
      <x:c r="D3" s="8" t="str">
        <x:v>mean</x:v>
      </x:c>
      <x:c r="E3" s="18" t="n">
        <x:v>0.588911704312115</x:v>
      </x:c>
    </x:row>
    <x:row r="4">
      <x:c r="A4" s="8" t="str">
        <x:v>primary_waveform_cohort</x:v>
      </x:c>
      <x:c r="B4" s="8" t="str">
        <x:v>asa_num</x:v>
      </x:c>
      <x:c r="C4" s="16" t="n">
        <x:v>2435</x:v>
      </x:c>
      <x:c r="D4" s="8" t="str">
        <x:v>mean</x:v>
      </x:c>
      <x:c r="E4" s="18" t="n">
        <x:v>1.9446540880503145</x:v>
      </x:c>
    </x:row>
    <x:row r="5">
      <x:c r="A5" s="8" t="str">
        <x:v>primary_waveform_cohort</x:v>
      </x:c>
      <x:c r="B5" s="8" t="str">
        <x:v>duration_min</x:v>
      </x:c>
      <x:c r="C5" s="16" t="n">
        <x:v>2435</x:v>
      </x:c>
      <x:c r="D5" s="8" t="str">
        <x:v>mean</x:v>
      </x:c>
      <x:c r="E5" s="18" t="n">
        <x:v>251.50636550309375</x:v>
      </x:c>
    </x:row>
    <x:row r="6">
      <x:c r="A6" s="8" t="str">
        <x:v>primary_waveform_cohort</x:v>
      </x:c>
      <x:c r="B6" s="8" t="str">
        <x:v>true_auc</x:v>
      </x:c>
      <x:c r="C6" s="16" t="n">
        <x:v>2435</x:v>
      </x:c>
      <x:c r="D6" s="8" t="str">
        <x:v>mean</x:v>
      </x:c>
      <x:c r="E6" s="18" t="n">
        <x:v>107.6886379192334</x:v>
      </x:c>
    </x:row>
    <x:row r="7">
      <x:c r="A7" s="8" t="str">
        <x:v>primary_waveform_cohort</x:v>
      </x:c>
      <x:c r="B7" s="8" t="str">
        <x:v>episode_count</x:v>
      </x:c>
      <x:c r="C7" s="16" t="n">
        <x:v>2435</x:v>
      </x:c>
      <x:c r="D7" s="8" t="str">
        <x:v>mean</x:v>
      </x:c>
      <x:c r="E7" s="18" t="n">
        <x:v>3.7728952772073923</x:v>
      </x:c>
    </x:row>
    <x:row r="8">
      <x:c r="A8" s="8" t="str">
        <x:v>primary_waveform_cohort</x:v>
      </x:c>
      <x:c r="B8" s="8" t="str">
        <x:v>paired_events</x:v>
      </x:c>
      <x:c r="C8" s="16" t="n">
        <x:v>2435</x:v>
      </x:c>
      <x:c r="D8" s="8" t="str">
        <x:v>median</x:v>
      </x:c>
      <x:c r="E8" s="18" t="n">
        <x:v>0</x:v>
      </x:c>
    </x:row>
    <x:row r="9">
      <x:c r="A9" s="8" t="str">
        <x:v>nibp_mechanism_subset</x:v>
      </x:c>
      <x:c r="B9" s="8" t="str">
        <x:v>age</x:v>
      </x:c>
      <x:c r="C9" s="16" t="n">
        <x:v>365</x:v>
      </x:c>
      <x:c r="D9" s="8" t="str">
        <x:v>mean</x:v>
      </x:c>
      <x:c r="E9" s="18" t="n">
        <x:v>61.52602739726027</x:v>
      </x:c>
    </x:row>
    <x:row r="10">
      <x:c r="A10" s="8" t="str">
        <x:v>nibp_mechanism_subset</x:v>
      </x:c>
      <x:c r="B10" s="8" t="str">
        <x:v>sex_male</x:v>
      </x:c>
      <x:c r="C10" s="16" t="n">
        <x:v>365</x:v>
      </x:c>
      <x:c r="D10" s="8" t="str">
        <x:v>mean</x:v>
      </x:c>
      <x:c r="E10" s="18" t="n">
        <x:v>0.6136986301369863</x:v>
      </x:c>
    </x:row>
    <x:row r="11">
      <x:c r="A11" s="8" t="str">
        <x:v>nibp_mechanism_subset</x:v>
      </x:c>
      <x:c r="B11" s="8" t="str">
        <x:v>asa_num</x:v>
      </x:c>
      <x:c r="C11" s="16" t="n">
        <x:v>365</x:v>
      </x:c>
      <x:c r="D11" s="8" t="str">
        <x:v>mean</x:v>
      </x:c>
      <x:c r="E11" s="18" t="n">
        <x:v>1.953168044077135</x:v>
      </x:c>
    </x:row>
    <x:row r="12">
      <x:c r="A12" s="8" t="str">
        <x:v>nibp_mechanism_subset</x:v>
      </x:c>
      <x:c r="B12" s="8" t="str">
        <x:v>duration_min</x:v>
      </x:c>
      <x:c r="C12" s="16" t="n">
        <x:v>365</x:v>
      </x:c>
      <x:c r="D12" s="8" t="str">
        <x:v>mean</x:v>
      </x:c>
      <x:c r="E12" s="18" t="n">
        <x:v>253.26849315059363</x:v>
      </x:c>
    </x:row>
    <x:row r="13">
      <x:c r="A13" s="8" t="str">
        <x:v>nibp_mechanism_subset</x:v>
      </x:c>
      <x:c r="B13" s="8" t="str">
        <x:v>true_auc</x:v>
      </x:c>
      <x:c r="C13" s="16" t="n">
        <x:v>365</x:v>
      </x:c>
      <x:c r="D13" s="8" t="str">
        <x:v>mean</x:v>
      </x:c>
      <x:c r="E13" s="18" t="n">
        <x:v>113.8755707762557</x:v>
      </x:c>
    </x:row>
    <x:row r="14">
      <x:c r="A14" s="8" t="str">
        <x:v>nibp_mechanism_subset</x:v>
      </x:c>
      <x:c r="B14" s="8" t="str">
        <x:v>episode_count</x:v>
      </x:c>
      <x:c r="C14" s="16" t="n">
        <x:v>365</x:v>
      </x:c>
      <x:c r="D14" s="8" t="str">
        <x:v>mean</x:v>
      </x:c>
      <x:c r="E14" s="18" t="n">
        <x:v>3.7534246575342465</x:v>
      </x:c>
    </x:row>
    <x:row r="15">
      <x:c r="A15" s="8" t="str">
        <x:v>nibp_mechanism_subset</x:v>
      </x:c>
      <x:c r="B15" s="8" t="str">
        <x:v>paired_events</x:v>
      </x:c>
      <x:c r="C15" s="16" t="n">
        <x:v>365</x:v>
      </x:c>
      <x:c r="D15" s="8" t="str">
        <x:v>median</x:v>
      </x:c>
      <x:c r="E15" s="18" t="n">
        <x:v>28</x:v>
      </x:c>
    </x:row>
    <x:row r="16">
      <x:c r="A16" s="8" t="str">
        <x:v>failed_pairing_cases</x:v>
      </x:c>
      <x:c r="B16" s="8" t="str">
        <x:v>age</x:v>
      </x:c>
      <x:c r="C16" s="16" t="n">
        <x:v>364</x:v>
      </x:c>
      <x:c r="D16" s="8" t="str">
        <x:v>mean</x:v>
      </x:c>
      <x:c r="E16" s="18" t="n">
        <x:v>61.543956043956044</x:v>
      </x:c>
    </x:row>
    <x:row r="17">
      <x:c r="A17" s="8" t="str">
        <x:v>failed_pairing_cases</x:v>
      </x:c>
      <x:c r="B17" s="8" t="str">
        <x:v>sex_male</x:v>
      </x:c>
      <x:c r="C17" s="16" t="n">
        <x:v>364</x:v>
      </x:c>
      <x:c r="D17" s="8" t="str">
        <x:v>mean</x:v>
      </x:c>
      <x:c r="E17" s="18" t="n">
        <x:v>0.6126373626373627</x:v>
      </x:c>
    </x:row>
    <x:row r="18">
      <x:c r="A18" s="8" t="str">
        <x:v>failed_pairing_cases</x:v>
      </x:c>
      <x:c r="B18" s="8" t="str">
        <x:v>asa_num</x:v>
      </x:c>
      <x:c r="C18" s="16" t="n">
        <x:v>364</x:v>
      </x:c>
      <x:c r="D18" s="8" t="str">
        <x:v>mean</x:v>
      </x:c>
      <x:c r="E18" s="18" t="n">
        <x:v>1.9502762430939227</x:v>
      </x:c>
    </x:row>
    <x:row r="19">
      <x:c r="A19" s="8" t="str">
        <x:v>failed_pairing_cases</x:v>
      </x:c>
      <x:c r="B19" s="8" t="str">
        <x:v>duration_min</x:v>
      </x:c>
      <x:c r="C19" s="16" t="n">
        <x:v>364</x:v>
      </x:c>
      <x:c r="D19" s="8" t="str">
        <x:v>mean</x:v>
      </x:c>
      <x:c r="E19" s="18" t="n">
        <x:v>253.4148351647436</x:v>
      </x:c>
    </x:row>
    <x:row r="20">
      <x:c r="A20" s="8" t="str">
        <x:v>failed_pairing_cases</x:v>
      </x:c>
      <x:c r="B20" s="8" t="str">
        <x:v>true_auc</x:v>
      </x:c>
      <x:c r="C20" s="16" t="n">
        <x:v>364</x:v>
      </x:c>
      <x:c r="D20" s="8" t="str">
        <x:v>mean</x:v>
      </x:c>
      <x:c r="E20" s="18" t="n">
        <x:v>113.16163003663003</x:v>
      </x:c>
    </x:row>
    <x:row r="21">
      <x:c r="A21" s="8" t="str">
        <x:v>failed_pairing_cases</x:v>
      </x:c>
      <x:c r="B21" s="8" t="str">
        <x:v>episode_count</x:v>
      </x:c>
      <x:c r="C21" s="16" t="n">
        <x:v>364</x:v>
      </x:c>
      <x:c r="D21" s="8" t="str">
        <x:v>mean</x:v>
      </x:c>
      <x:c r="E21" s="18" t="n">
        <x:v>3.758241758241758</x:v>
      </x:c>
    </x:row>
    <x:row r="22">
      <x:c r="A22" s="8" t="str">
        <x:v>failed_pairing_cases</x:v>
      </x:c>
      <x:c r="B22" s="8" t="str">
        <x:v>paired_events</x:v>
      </x:c>
      <x:c r="C22" s="16" t="n">
        <x:v>364</x:v>
      </x:c>
      <x:c r="D22" s="8" t="str">
        <x:v>median</x:v>
      </x:c>
      <x:c r="E22" s="18" t="n">
        <x:v>28</x:v>
      </x:c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0" hidden="0" customWidth="1"/>
    <x:col min="3" max="3" width="16" hidden="0" customWidth="1"/>
    <x:col min="4" max="4" width="34" hidden="0" customWidth="1"/>
    <x:col min="5" max="5" width="34" hidden="0" customWidth="1"/>
    <x:col min="6" max="6" width="27" hidden="0" customWidth="1"/>
  </x:cols>
  <x:sheetData>
    <x:row r="1" ht="32" customHeight="1">
      <x:c r="A1" s="14" t="str">
        <x:v>hierarchy_order</x:v>
      </x:c>
      <x:c r="B1" s="14" t="str">
        <x:v>exclusion_category</x:v>
      </x:c>
      <x:c r="C1" s="14" t="str">
        <x:v>excluded_cases</x:v>
      </x:c>
      <x:c r="D1" s="14" t="str">
        <x:v>eligible_before_surgical_exclusions</x:v>
      </x:c>
      <x:c r="E1" s="14" t="str">
        <x:v>remaining_after_all_surgical_exclusions</x:v>
      </x:c>
      <x:c r="F1" s="14" t="str">
        <x:v>total_surgically_excluded</x:v>
      </x:c>
    </x:row>
    <x:row r="2">
      <x:c r="A2" s="16" t="n">
        <x:v>1</x:v>
      </x:c>
      <x:c r="B2" s="8" t="str">
        <x:v>cardiac</x:v>
      </x:c>
      <x:c r="C2" s="16" t="n">
        <x:v>32</x:v>
      </x:c>
      <x:c r="D2" s="16" t="n">
        <x:v>5989</x:v>
      </x:c>
      <x:c r="E2" s="16" t="n">
        <x:v>5559</x:v>
      </x:c>
      <x:c r="F2" s="16" t="n">
        <x:v>430</x:v>
      </x:c>
    </x:row>
    <x:row r="3">
      <x:c r="A3" s="16" t="n">
        <x:v>2</x:v>
      </x:c>
      <x:c r="B3" s="8" t="str">
        <x:v>obstetric</x:v>
      </x:c>
      <x:c r="C3" s="16" t="n">
        <x:v>2</x:v>
      </x:c>
      <x:c r="D3" s="16" t="n">
        <x:v>5989</x:v>
      </x:c>
      <x:c r="E3" s="16" t="n">
        <x:v>5559</x:v>
      </x:c>
      <x:c r="F3" s="16" t="n">
        <x:v>430</x:v>
      </x:c>
    </x:row>
    <x:row r="4">
      <x:c r="A4" s="16" t="n">
        <x:v>3</x:v>
      </x:c>
      <x:c r="B4" s="8" t="str">
        <x:v>transplant</x:v>
      </x:c>
      <x:c r="C4" s="16" t="n">
        <x:v>396</x:v>
      </x:c>
      <x:c r="D4" s="16" t="n">
        <x:v>5989</x:v>
      </x:c>
      <x:c r="E4" s="16" t="n">
        <x:v>5559</x:v>
      </x:c>
      <x:c r="F4" s="16" t="n">
        <x:v>430</x:v>
      </x:c>
    </x:row>
    <x:row r="5">
      <x:c r="A5" s="16" t="n">
        <x:v>4</x:v>
      </x:c>
      <x:c r="B5" s="8" t="str">
        <x:v>other_prespecified</x:v>
      </x:c>
      <x:c r="C5" s="16" t="n">
        <x:v>0</x:v>
      </x:c>
      <x:c r="D5" s="16" t="n">
        <x:v>5989</x:v>
      </x:c>
      <x:c r="E5" s="16" t="n">
        <x:v>5559</x:v>
      </x:c>
      <x:c r="F5" s="16" t="n">
        <x:v>430</x:v>
      </x:c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4" hidden="0" customWidth="1"/>
    <x:col min="3" max="3" width="10" hidden="0" customWidth="1"/>
    <x:col min="4" max="4" width="34" hidden="0" customWidth="1"/>
  </x:cols>
  <x:sheetData>
    <x:row r="1" ht="32" customHeight="1">
      <x:c r="A1" s="14" t="str">
        <x:v>database</x:v>
      </x:c>
      <x:c r="B1" s="14" t="str">
        <x:v>analytic_role</x:v>
      </x:c>
      <x:c r="C1" s="14" t="str">
        <x:v>key_n</x:v>
      </x:c>
      <x:c r="D1" s="14" t="str">
        <x:v>claim_boundary</x:v>
      </x:c>
    </x:row>
    <x:row r="2">
      <x:c r="A2" s="8" t="str">
        <x:v>VitalDB</x:v>
      </x:c>
      <x:c r="B2" s="8" t="str">
        <x:v>Primary continuous arterial MAP reference; actual NIBP display-level agreement/mechanism audit; monitoring-strategy emulation</x:v>
      </x:c>
      <x:c r="C2" s="16" t="n">
        <x:v>2435</x:v>
      </x:c>
      <x:c r="D2" s="8" t="str">
        <x:v>selected arterial-reference cohort</x:v>
      </x:c>
    </x:row>
    <x:row r="3">
      <x:c r="A3" s="8" t="str">
        <x:v>MoVeR</x:v>
      </x:c>
      <x:c r="B3" s="8" t="str">
        <x:v>stop_gate_audit; ehr_cadence_audit; minute_level_fallback_sensitivity</x:v>
      </x:c>
      <x:c r="C3" s="16" t="n">
        <x:v>0</x:v>
      </x:c>
      <x:c r="D3" s="8" t="str">
        <x:v>gate-controlled optional branch; no direct waveform claim if gate fails</x:v>
      </x:c>
    </x:row>
    <x:row r="4">
      <x:c r="A4" s="8" t="str">
        <x:v>INSPIRE</x:v>
      </x:c>
      <x:c r="B4" s="8" t="str">
        <x:v>target_population_resource_scenario; transportability_overlap</x:v>
      </x:c>
      <x:c r="C4" s="16" t="n">
        <x:v>89576</x:v>
      </x:c>
      <x:c r="D4" s="8" t="str">
        <x:v>resource and target-population scenarios only</x:v>
      </x:c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4" hidden="0" customWidth="1"/>
    <x:col min="3" max="3" width="10" hidden="0" customWidth="1"/>
    <x:col min="4" max="4" width="34" hidden="0" customWidth="1"/>
  </x:cols>
  <x:sheetData>
    <x:row r="1" ht="32" customHeight="1">
      <x:c r="A1" s="14" t="str">
        <x:v>database</x:v>
      </x:c>
      <x:c r="B1" s="14" t="str">
        <x:v>analytic_role</x:v>
      </x:c>
      <x:c r="C1" s="14" t="str">
        <x:v>key_n</x:v>
      </x:c>
      <x:c r="D1" s="14" t="str">
        <x:v>claim_boundary</x:v>
      </x:c>
    </x:row>
    <x:row r="2">
      <x:c r="A2" s="8" t="str">
        <x:v>VitalDB</x:v>
      </x:c>
      <x:c r="B2" s="8" t="str">
        <x:v>Primary continuous arterial MAP reference; actual NIBP display-level agreement/mechanism audit; monitoring-strategy emulation</x:v>
      </x:c>
      <x:c r="C2" s="16" t="n">
        <x:v>2435</x:v>
      </x:c>
      <x:c r="D2" s="8" t="str">
        <x:v>selected arterial-reference cohort</x:v>
      </x:c>
    </x:row>
    <x:row r="3">
      <x:c r="A3" s="8" t="str">
        <x:v>MoVeR</x:v>
      </x:c>
      <x:c r="B3" s="8" t="str">
        <x:v>stop_gate_audit; ehr_cadence_audit; minute_level_fallback_sensitivity</x:v>
      </x:c>
      <x:c r="C3" s="16" t="n">
        <x:v>0</x:v>
      </x:c>
      <x:c r="D3" s="8" t="str">
        <x:v>gate-controlled optional branch; no direct waveform claim if gate fails</x:v>
      </x:c>
    </x:row>
    <x:row r="4">
      <x:c r="A4" s="8" t="str">
        <x:v>INSPIRE</x:v>
      </x:c>
      <x:c r="B4" s="8" t="str">
        <x:v>target_population_resource_scenario; transportability_overlap</x:v>
      </x:c>
      <x:c r="C4" s="16" t="n">
        <x:v>89576</x:v>
      </x:c>
      <x:c r="D4" s="8" t="str">
        <x:v>resource and target-population scenarios only</x:v>
      </x:c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9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3" hidden="0" customWidth="1"/>
    <x:col min="10" max="10" width="20" hidden="0" customWidth="1"/>
    <x:col min="11" max="11" width="20" hidden="0" customWidth="1"/>
    <x:col min="12" max="12" width="20" hidden="0" customWidth="1"/>
    <x:col min="13" max="13" width="21" hidden="0" customWidth="1"/>
    <x:col min="14" max="14" width="21" hidden="0" customWidth="1"/>
    <x:col min="15" max="15" width="21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true_auc_total</x:v>
      </x:c>
      <x:c r="E1" s="14" t="str">
        <x:v>hidden_auc_total</x:v>
      </x:c>
      <x:c r="F1" s="14" t="str">
        <x:v>HDR</x:v>
      </x:c>
      <x:c r="G1" s="14" t="str">
        <x:v>HDR_ci_low</x:v>
      </x:c>
      <x:c r="H1" s="14" t="str">
        <x:v>HDR_ci_high</x:v>
      </x:c>
      <x:c r="I1" s="14" t="str">
        <x:v>overdisplay_auc_total</x:v>
      </x:c>
      <x:c r="J1" s="14" t="str">
        <x:v>ODR</x:v>
      </x:c>
      <x:c r="K1" s="14" t="str">
        <x:v>ODR_ci_low</x:v>
      </x:c>
      <x:c r="L1" s="14" t="str">
        <x:v>ODR_ci_high</x:v>
      </x:c>
      <x:c r="M1" s="14" t="str">
        <x:v>NetBias</x:v>
      </x:c>
      <x:c r="N1" s="14" t="str">
        <x:v>NetBias_ci_low</x:v>
      </x:c>
      <x:c r="O1" s="14" t="str">
        <x:v>NetBias_ci_high</x:v>
      </x:c>
      <x:c r="P1" s="14" t="str">
        <x:v>normotensive_display_discordance_min_per_anesthesia_hour</x:v>
      </x:c>
      <x:c r="Q1" s="14" t="str">
        <x:v>normotensive_display_discordance_ci_low</x:v>
      </x:c>
      <x:c r="R1" s="14" t="str">
        <x:v>normotensive_display_discordance_ci_high</x:v>
      </x:c>
      <x:c r="S1" s="14" t="str">
        <x:v>hypotensive_display_discordance_min_per_anesthesia_hour</x:v>
      </x:c>
      <x:c r="T1" s="14" t="str">
        <x:v>hypotensive_display_discordance_ci_low</x:v>
      </x:c>
      <x:c r="U1" s="14" t="str">
        <x:v>hypotensive_display_discordance_ci_high</x:v>
      </x:c>
      <x:c r="V1" s="14" t="str">
        <x:v>reference_hypotension_with_display_unavailable_min_per_anesthesia_hour</x:v>
      </x:c>
      <x:c r="W1" s="14" t="str">
        <x:v>reference_hypotension_with_display_unavailable_ci_low</x:v>
      </x:c>
      <x:c r="X1" s="14" t="str">
        <x:v>reference_hypotension_with_display_unavailable_ci_high</x:v>
      </x:c>
      <x:c r="Y1" s="14" t="str">
        <x:v>episode_sensitivity</x:v>
      </x:c>
    </x:row>
    <x:row r="2">
      <x:c r="A2" s="16" t="n">
        <x:v>55</x:v>
      </x:c>
      <x:c r="B2" s="18" t="n">
        <x:v>1</x:v>
      </x:c>
      <x:c r="C2" s="16" t="n">
        <x:v>2435</x:v>
      </x:c>
      <x:c r="D2" s="18" t="n">
        <x:v>65826.83333333333</x:v>
      </x:c>
      <x:c r="E2" s="18" t="n">
        <x:v>32430.347222222223</x:v>
      </x:c>
      <x:c r="F2" s="18" t="n">
        <x:v>0.4926615117273182</x:v>
      </x:c>
      <x:c r="G2" s="18" t="n">
        <x:v>0.4717328764207174</x:v>
      </x:c>
      <x:c r="H2" s="18" t="n">
        <x:v>0.5127545564803715</x:v>
      </x:c>
      <x:c r="I2" s="18" t="n">
        <x:v>29160.61111111111</x:v>
      </x:c>
      <x:c r="J2" s="18" t="n">
        <x:v>0.4429897297876668</x:v>
      </x:c>
      <x:c r="K2" s="18" t="n">
        <x:v>0.4235348459239745</x:v>
      </x:c>
      <x:c r="L2" s="18" t="n">
        <x:v>0.4607817950380766</x:v>
      </x:c>
      <x:c r="M2" s="18" t="n">
        <x:v>-0.0496717819396514</x:v>
      </x:c>
      <x:c r="N2" s="18" t="n">
        <x:v>-0.0540998537827277</x:v>
      </x:c>
      <x:c r="O2" s="18" t="n">
        <x:v>-0.045535015652178</x:v>
      </x:c>
      <x:c r="P2" s="18" t="n">
        <x:v>0.1928765584847648</x:v>
      </x:c>
      <x:c r="Q2" s="18" t="n">
        <x:v>0.1824698426323563</x:v>
      </x:c>
      <x:c r="R2" s="18" t="n">
        <x:v>0.2041766695558966</x:v>
      </x:c>
      <x:c r="S2" s="18" t="n">
        <x:v>0.2300607011135393</x:v>
      </x:c>
      <x:c r="T2" s="18" t="n">
        <x:v>0.2197734462399562</x:v>
      </x:c>
      <x:c r="U2" s="18" t="n">
        <x:v>0.2415154411702841</x:v>
      </x:c>
      <x:c r="V2" s="18" t="n">
        <x:v>0.0501609078615148</x:v>
      </x:c>
      <x:c r="W2" s="18" t="n">
        <x:v>0.0484090195112623</x:v>
      </x:c>
      <x:c r="X2" s="18" t="n">
        <x:v>0.0520659330084869</x:v>
      </x:c>
      <x:c r="Y2" s="18" t="n">
        <x:v>1</x:v>
      </x:c>
    </x:row>
    <x:row r="3">
      <x:c r="A3" s="16" t="n">
        <x:v>55</x:v>
      </x:c>
      <x:c r="B3" s="18" t="n">
        <x:v>2.5</x:v>
      </x:c>
      <x:c r="C3" s="16" t="n">
        <x:v>2435</x:v>
      </x:c>
      <x:c r="D3" s="18" t="n">
        <x:v>65826.83333333333</x:v>
      </x:c>
      <x:c r="E3" s="18" t="n">
        <x:v>44952.83888888889</x:v>
      </x:c>
      <x:c r="F3" s="18" t="n">
        <x:v>0.6828953576007083</x:v>
      </x:c>
      <x:c r="G3" s="18" t="n">
        <x:v>0.6585083870467846</x:v>
      </x:c>
      <x:c r="H3" s="18" t="n">
        <x:v>0.7051092363208078</x:v>
      </x:c>
      <x:c r="I3" s="18" t="n">
        <x:v>40844.894444444435</x:v>
      </x:c>
      <x:c r="J3" s="18" t="n">
        <x:v>0.6204900399448721</x:v>
      </x:c>
      <x:c r="K3" s="18" t="n">
        <x:v>0.5984429589618717</x:v>
      </x:c>
      <x:c r="L3" s="18" t="n">
        <x:v>0.6405279201369606</x:v>
      </x:c>
      <x:c r="M3" s="18" t="n">
        <x:v>-0.0624053176558361</x:v>
      </x:c>
      <x:c r="N3" s="18" t="n">
        <x:v>-0.0679998239498716</x:v>
      </x:c>
      <x:c r="O3" s="18" t="n">
        <x:v>-0.0568724569587848</x:v>
      </x:c>
      <x:c r="P3" s="18" t="n">
        <x:v>0.2806341268501095</x:v>
      </x:c>
      <x:c r="Q3" s="18" t="n">
        <x:v>0.2644098159722509</x:v>
      </x:c>
      <x:c r="R3" s="18" t="n">
        <x:v>0.2980024564304744</x:v>
      </x:c>
      <x:c r="S3" s="18" t="n">
        <x:v>0.3484274410112383</x:v>
      </x:c>
      <x:c r="T3" s="18" t="n">
        <x:v>0.331804518372548</x:v>
      </x:c>
      <x:c r="U3" s="18" t="n">
        <x:v>0.3666900515642479</x:v>
      </x:c>
      <x:c r="V3" s="18" t="n">
        <x:v>0.0841962215779067</x:v>
      </x:c>
      <x:c r="W3" s="18" t="n">
        <x:v>0.0806346106907466</x:v>
      </x:c>
      <x:c r="X3" s="18" t="n">
        <x:v>0.0877275531591836</x:v>
      </x:c>
      <x:c r="Y3" s="18" t="n">
        <x:v>0.7519071310116087</x:v>
      </x:c>
    </x:row>
    <x:row r="4">
      <x:c r="A4" s="16" t="n">
        <x:v>55</x:v>
      </x:c>
      <x:c r="B4" s="18" t="n">
        <x:v>3</x:v>
      </x:c>
      <x:c r="C4" s="16" t="n">
        <x:v>2435</x:v>
      </x:c>
      <x:c r="D4" s="18" t="n">
        <x:v>65826.83333333333</x:v>
      </x:c>
      <x:c r="E4" s="18" t="n">
        <x:v>47019.31018518518</x:v>
      </x:c>
      <x:c r="F4" s="18" t="n">
        <x:v>0.7142878945291082</x:v>
      </x:c>
      <x:c r="G4" s="18" t="n">
        <x:v>0.6904980046308838</x:v>
      </x:c>
      <x:c r="H4" s="18" t="n">
        <x:v>0.7377268194962168</x:v>
      </x:c>
      <x:c r="I4" s="18" t="n">
        <x:v>42772.69907407407</x:v>
      </x:c>
      <x:c r="J4" s="18" t="n">
        <x:v>0.6497760397721407</x:v>
      </x:c>
      <x:c r="K4" s="18" t="n">
        <x:v>0.6276061921095174</x:v>
      </x:c>
      <x:c r="L4" s="18" t="n">
        <x:v>0.6701912669636111</x:v>
      </x:c>
      <x:c r="M4" s="18" t="n">
        <x:v>-0.0645118547569675</x:v>
      </x:c>
      <x:c r="N4" s="18" t="n">
        <x:v>-0.0709417148638431</x:v>
      </x:c>
      <x:c r="O4" s="18" t="n">
        <x:v>-0.0587940292393305</x:v>
      </x:c>
      <x:c r="P4" s="18" t="n">
        <x:v>0.2964615037494346</x:v>
      </x:c>
      <x:c r="Q4" s="18" t="n">
        <x:v>0.2772518494476365</x:v>
      </x:c>
      <x:c r="R4" s="18" t="n">
        <x:v>0.3144132161334202</x:v>
      </x:c>
      <x:c r="S4" s="18" t="n">
        <x:v>0.3707703373374033</x:v>
      </x:c>
      <x:c r="T4" s="18" t="n">
        <x:v>0.3507977488648554</x:v>
      </x:c>
      <x:c r="U4" s="18" t="n">
        <x:v>0.3893612577318306</x:v>
      </x:c>
      <x:c r="V4" s="18" t="n">
        <x:v>0.0913906407154375</x:v>
      </x:c>
      <x:c r="W4" s="18" t="n">
        <x:v>0.0871014894565445</x:v>
      </x:c>
      <x:c r="X4" s="18" t="n">
        <x:v>0.0956904747962196</x:v>
      </x:c>
      <x:c r="Y4" s="18" t="n">
        <x:v>0.683605780620706</x:v>
      </x:c>
    </x:row>
    <x:row r="5">
      <x:c r="A5" s="16" t="n">
        <x:v>55</x:v>
      </x:c>
      <x:c r="B5" s="18" t="n">
        <x:v>5</x:v>
      </x:c>
      <x:c r="C5" s="16" t="n">
        <x:v>2435</x:v>
      </x:c>
      <x:c r="D5" s="18" t="n">
        <x:v>65826.83333333333</x:v>
      </x:c>
      <x:c r="E5" s="18" t="n">
        <x:v>52196.225000000006</x:v>
      </x:c>
      <x:c r="F5" s="18" t="n">
        <x:v>0.792932340155104</x:v>
      </x:c>
      <x:c r="G5" s="18" t="n">
        <x:v>0.7678969476865211</x:v>
      </x:c>
      <x:c r="H5" s="18" t="n">
        <x:v>0.8131092099300875</x:v>
      </x:c>
      <x:c r="I5" s="18" t="n">
        <x:v>47939.50277777777</x:v>
      </x:c>
      <x:c r="J5" s="18" t="n">
        <x:v>0.7282668837345122</x:v>
      </x:c>
      <x:c r="K5" s="18" t="n">
        <x:v>0.7056561732009629</x:v>
      </x:c>
      <x:c r="L5" s="18" t="n">
        <x:v>0.7469690579675997</x:v>
      </x:c>
      <x:c r="M5" s="18" t="n">
        <x:v>-0.0646654564205919</x:v>
      </x:c>
      <x:c r="N5" s="18" t="n">
        <x:v>-0.0718390709721302</x:v>
      </x:c>
      <x:c r="O5" s="18" t="n">
        <x:v>-0.0586494293129081</x:v>
      </x:c>
      <x:c r="P5" s="18" t="n">
        <x:v>0.3339651511573082</x:v>
      </x:c>
      <x:c r="Q5" s="18" t="n">
        <x:v>0.3133406092464237</x:v>
      </x:c>
      <x:c r="R5" s="18" t="n">
        <x:v>0.3563789314561789</x:v>
      </x:c>
      <x:c r="S5" s="18" t="n">
        <x:v>0.4293925602372466</x:v>
      </x:c>
      <x:c r="T5" s="18" t="n">
        <x:v>0.4075963864589509</x:v>
      </x:c>
      <x:c r="U5" s="18" t="n">
        <x:v>0.4534157231326303</x:v>
      </x:c>
      <x:c r="V5" s="18" t="n">
        <x:v>0.1131386367866411</x:v>
      </x:c>
      <x:c r="W5" s="18" t="n">
        <x:v>0.1075053493856695</x:v>
      </x:c>
      <x:c r="X5" s="18" t="n">
        <x:v>0.1184161796077213</x:v>
      </x:c>
      <x:c r="Y5" s="18" t="n">
        <x:v>0.50075811419095</x:v>
      </x:c>
    </x:row>
    <x:row r="6">
      <x:c r="A6" s="16" t="n">
        <x:v>55</x:v>
      </x:c>
      <x:c r="B6" s="18" t="n">
        <x:v>10</x:v>
      </x:c>
      <x:c r="C6" s="16" t="n">
        <x:v>2435</x:v>
      </x:c>
      <x:c r="D6" s="18" t="n">
        <x:v>65826.83333333333</x:v>
      </x:c>
      <x:c r="E6" s="18" t="n">
        <x:v>57233.96111111111</x:v>
      </x:c>
      <x:c r="F6" s="18" t="n">
        <x:v>0.8694624701341821</x:v>
      </x:c>
      <x:c r="G6" s="18" t="n">
        <x:v>0.8505865663839545</x:v>
      </x:c>
      <x:c r="H6" s="18" t="n">
        <x:v>0.8888676313044542</x:v>
      </x:c>
      <x:c r="I6" s="18" t="n">
        <x:v>52862.67638888888</x:v>
      </x:c>
      <x:c r="J6" s="18" t="n">
        <x:v>0.8030566520069914</x:v>
      </x:c>
      <x:c r="K6" s="18" t="n">
        <x:v>0.7858094803732508</x:v>
      </x:c>
      <x:c r="L6" s="18" t="n">
        <x:v>0.8203015137193459</x:v>
      </x:c>
      <x:c r="M6" s="18" t="n">
        <x:v>-0.0664058181271906</x:v>
      </x:c>
      <x:c r="N6" s="18" t="n">
        <x:v>-0.0742090642468753</x:v>
      </x:c>
      <x:c r="O6" s="18" t="n">
        <x:v>-0.0591289072860422</x:v>
      </x:c>
      <x:c r="P6" s="18" t="n">
        <x:v>0.3621639410473409</x:v>
      </x:c>
      <x:c r="Q6" s="18" t="n">
        <x:v>0.3356034094819368</x:v>
      </x:c>
      <x:c r="R6" s="18" t="n">
        <x:v>0.3915570951554207</x:v>
      </x:c>
      <x:c r="S6" s="18" t="n">
        <x:v>0.4903255352879699</x:v>
      </x:c>
      <x:c r="T6" s="18" t="n">
        <x:v>0.4612068875199601</x:v>
      </x:c>
      <x:c r="U6" s="18" t="n">
        <x:v>0.5215369253102995</x:v>
      </x:c>
      <x:c r="V6" s="18" t="n">
        <x:v>0.1482947103644109</x:v>
      </x:c>
      <x:c r="W6" s="18" t="n">
        <x:v>0.1407523406521181</x:v>
      </x:c>
      <x:c r="X6" s="18" t="n">
        <x:v>0.1562292479330387</x:v>
      </x:c>
      <x:c r="Y6" s="18" t="n">
        <x:v>0.3127339493011135</x:v>
      </x:c>
    </x:row>
    <x:row r="7">
      <x:c r="A7" s="16" t="n">
        <x:v>60</x:v>
      </x:c>
      <x:c r="B7" s="18" t="n">
        <x:v>1</x:v>
      </x:c>
      <x:c r="C7" s="16" t="n">
        <x:v>2435</x:v>
      </x:c>
      <x:c r="D7" s="18" t="n">
        <x:v>120110.5</x:v>
      </x:c>
      <x:c r="E7" s="18" t="n">
        <x:v>49180.19444444444</x:v>
      </x:c>
      <x:c r="F7" s="18" t="n">
        <x:v>0.409457911210464</x:v>
      </x:c>
      <x:c r="G7" s="18" t="n">
        <x:v>0.3943923425298739</x:v>
      </x:c>
      <x:c r="H7" s="18" t="n">
        <x:v>0.4249590855923009</x:v>
      </x:c>
      <x:c r="I7" s="18" t="n">
        <x:v>45269.01388888888</x:v>
      </x:c>
      <x:c r="J7" s="18" t="n">
        <x:v>0.3768947251813029</x:v>
      </x:c>
      <x:c r="K7" s="18" t="n">
        <x:v>0.3632749304403916</x:v>
      </x:c>
      <x:c r="L7" s="18" t="n">
        <x:v>0.3909207381648396</x:v>
      </x:c>
      <x:c r="M7" s="18" t="n">
        <x:v>-0.0325631860291611</x:v>
      </x:c>
      <x:c r="N7" s="18" t="n">
        <x:v>-0.0353999286583372</x:v>
      </x:c>
      <x:c r="O7" s="18" t="n">
        <x:v>-0.0299739713127742</x:v>
      </x:c>
      <x:c r="P7" s="18" t="n">
        <x:v>0.3782880968456191</x:v>
      </x:c>
      <x:c r="Q7" s="18" t="n">
        <x:v>0.3615279309435162</x:v>
      </x:c>
      <x:c r="R7" s="18" t="n">
        <x:v>0.3959397094687931</x:v>
      </x:c>
      <x:c r="S7" s="18" t="n">
        <x:v>0.4199426214676718</x:v>
      </x:c>
      <x:c r="T7" s="18" t="n">
        <x:v>0.4029120524561747</x:v>
      </x:c>
      <x:c r="U7" s="18" t="n">
        <x:v>0.4377600685174235</x:v>
      </x:c>
      <x:c r="V7" s="18" t="n">
        <x:v>0.0552181353674242</x:v>
      </x:c>
      <x:c r="W7" s="18" t="n">
        <x:v>0.0533593609560103</x:v>
      </x:c>
      <x:c r="X7" s="18" t="n">
        <x:v>0.0570906009444534</x:v>
      </x:c>
      <x:c r="Y7" s="18" t="n">
        <x:v>1</x:v>
      </x:c>
    </x:row>
    <x:row r="8">
      <x:c r="A8" s="16" t="n">
        <x:v>60</x:v>
      </x:c>
      <x:c r="B8" s="18" t="n">
        <x:v>2.5</x:v>
      </x:c>
      <x:c r="C8" s="16" t="n">
        <x:v>2435</x:v>
      </x:c>
      <x:c r="D8" s="18" t="n">
        <x:v>120110.5</x:v>
      </x:c>
      <x:c r="E8" s="18" t="n">
        <x:v>71530.43333333332</x:v>
      </x:c>
      <x:c r="F8" s="18" t="n">
        <x:v>0.5955385526938387</x:v>
      </x:c>
      <x:c r="G8" s="18" t="n">
        <x:v>0.5753943054789009</x:v>
      </x:c>
      <x:c r="H8" s="18" t="n">
        <x:v>0.6139958250003461</x:v>
      </x:c>
      <x:c r="I8" s="18" t="n">
        <x:v>66594.61666666667</x:v>
      </x:c>
      <x:c r="J8" s="18" t="n">
        <x:v>0.5544445878309279</x:v>
      </x:c>
      <x:c r="K8" s="18" t="n">
        <x:v>0.536371302982288</x:v>
      </x:c>
      <x:c r="L8" s="18" t="n">
        <x:v>0.5710156553423231</x:v>
      </x:c>
      <x:c r="M8" s="18" t="n">
        <x:v>-0.0410939648629108</x:v>
      </x:c>
      <x:c r="N8" s="18" t="n">
        <x:v>-0.0451093831126379</x:v>
      </x:c>
      <x:c r="O8" s="18" t="n">
        <x:v>-0.036958329935073</x:v>
      </x:c>
      <x:c r="P8" s="18" t="n">
        <x:v>0.6125585515041799</x:v>
      </x:c>
      <x:c r="Q8" s="18" t="n">
        <x:v>0.5821141406873936</x:v>
      </x:c>
      <x:c r="R8" s="18" t="n">
        <x:v>0.6424624602534639</x:v>
      </x:c>
      <x:c r="S8" s="18" t="n">
        <x:v>0.6921106387899705</x:v>
      </x:c>
      <x:c r="T8" s="18" t="n">
        <x:v>0.6602661220026866</x:v>
      </x:c>
      <x:c r="U8" s="18" t="n">
        <x:v>0.7221540913971431</x:v>
      </x:c>
      <x:c r="V8" s="18" t="n">
        <x:v>0.0976085182352174</x:v>
      </x:c>
      <x:c r="W8" s="18" t="n">
        <x:v>0.0936942831021564</x:v>
      </x:c>
      <x:c r="X8" s="18" t="n">
        <x:v>0.1016544343130426</x:v>
      </x:c>
      <x:c r="Y8" s="18" t="n">
        <x:v>0.79651728553137</x:v>
      </x:c>
    </x:row>
    <x:row r="9">
      <x:c r="A9" s="16" t="n">
        <x:v>60</x:v>
      </x:c>
      <x:c r="B9" s="18" t="n">
        <x:v>3</x:v>
      </x:c>
      <x:c r="C9" s="16" t="n">
        <x:v>2435</x:v>
      </x:c>
      <x:c r="D9" s="18" t="n">
        <x:v>120110.5</x:v>
      </x:c>
      <x:c r="E9" s="18" t="n">
        <x:v>75612.58796296296</x:v>
      </x:c>
      <x:c r="F9" s="18" t="n">
        <x:v>0.6295252118920741</x:v>
      </x:c>
      <x:c r="G9" s="18" t="n">
        <x:v>0.6097428292016002</x:v>
      </x:c>
      <x:c r="H9" s="18" t="n">
        <x:v>0.6474385189908423</x:v>
      </x:c>
      <x:c r="I9" s="18" t="n">
        <x:v>70489.95370370371</x:v>
      </x:c>
      <x:c r="J9" s="18" t="n">
        <x:v>0.586875866004252</x:v>
      </x:c>
      <x:c r="K9" s="18" t="n">
        <x:v>0.56916210923764</x:v>
      </x:c>
      <x:c r="L9" s="18" t="n">
        <x:v>0.6029447344931383</x:v>
      </x:c>
      <x:c r="M9" s="18" t="n">
        <x:v>-0.042649345887822</x:v>
      </x:c>
      <x:c r="N9" s="18" t="n">
        <x:v>-0.0464098943468104</x:v>
      </x:c>
      <x:c r="O9" s="18" t="n">
        <x:v>-0.0386534438123532</x:v>
      </x:c>
      <x:c r="P9" s="18" t="n">
        <x:v>0.6620844771786615</x:v>
      </x:c>
      <x:c r="Q9" s="18" t="n">
        <x:v>0.6312612173080238</x:v>
      </x:c>
      <x:c r="R9" s="18" t="n">
        <x:v>0.694058711552002</x:v>
      </x:c>
      <x:c r="S9" s="18" t="n">
        <x:v>0.7500528113016474</x:v>
      </x:c>
      <x:c r="T9" s="18" t="n">
        <x:v>0.7185333780778957</x:v>
      </x:c>
      <x:c r="U9" s="18" t="n">
        <x:v>0.7822247340221775</x:v>
      </x:c>
      <x:c r="V9" s="18" t="n">
        <x:v>0.1073975233009791</x:v>
      </x:c>
      <x:c r="W9" s="18" t="n">
        <x:v>0.1030501706570122</x:v>
      </x:c>
      <x:c r="X9" s="18" t="n">
        <x:v>0.1121748225753087</x:v>
      </x:c>
      <x:c r="Y9" s="18" t="n">
        <x:v>0.7367335325081804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8" t="n">
        <x:v>120110.5</x:v>
      </x:c>
      <x:c r="E10" s="18" t="n">
        <x:v>86197.83055555556</x:v>
      </x:c>
      <x:c r="F10" s="18" t="n">
        <x:v>0.7176544145229231</x:v>
      </x:c>
      <x:c r="G10" s="18" t="n">
        <x:v>0.6973222987106832</x:v>
      </x:c>
      <x:c r="H10" s="18" t="n">
        <x:v>0.7350912826614593</x:v>
      </x:c>
      <x:c r="I10" s="18" t="n">
        <x:v>80993.67499999999</x:v>
      </x:c>
      <x:c r="J10" s="18" t="n">
        <x:v>0.6743263494865144</x:v>
      </x:c>
      <x:c r="K10" s="18" t="n">
        <x:v>0.6563527729276766</x:v>
      </x:c>
      <x:c r="L10" s="18" t="n">
        <x:v>0.6903165616337826</x:v>
      </x:c>
      <x:c r="M10" s="18" t="n">
        <x:v>-0.0433280650364087</x:v>
      </x:c>
      <x:c r="N10" s="18" t="n">
        <x:v>-0.0479273523238283</x:v>
      </x:c>
      <x:c r="O10" s="18" t="n">
        <x:v>-0.0386602382571741</x:v>
      </x:c>
      <x:c r="P10" s="18" t="n">
        <x:v>0.7927954932565986</x:v>
      </x:c>
      <x:c r="Q10" s="18" t="n">
        <x:v>0.7500014028551494</x:v>
      </x:c>
      <x:c r="R10" s="18" t="n">
        <x:v>0.830774300307051</x:v>
      </x:c>
      <x:c r="S10" s="18" t="n">
        <x:v>0.9106789486144836</x:v>
      </x:c>
      <x:c r="T10" s="18" t="n">
        <x:v>0.865875484819952</x:v>
      </x:c>
      <x:c r="U10" s="18" t="n">
        <x:v>0.9486223012881402</x:v>
      </x:c>
      <x:c r="V10" s="18" t="n">
        <x:v>0.1391934268699875</x:v>
      </x:c>
      <x:c r="W10" s="18" t="n">
        <x:v>0.1323021017058718</x:v>
      </x:c>
      <x:c r="X10" s="18" t="n">
        <x:v>0.145622262465054</x:v>
      </x:c>
      <x:c r="Y10" s="18" t="n">
        <x:v>0.5651301749893298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8" t="n">
        <x:v>120110.5</x:v>
      </x:c>
      <x:c r="E11" s="18" t="n">
        <x:v>97292.96805555554</x:v>
      </x:c>
      <x:c r="F11" s="18" t="n">
        <x:v>0.8100288322466024</x:v>
      </x:c>
      <x:c r="G11" s="18" t="n">
        <x:v>0.7919755019561424</x:v>
      </x:c>
      <x:c r="H11" s="18" t="n">
        <x:v>0.8275103927819595</x:v>
      </x:c>
      <x:c r="I11" s="18" t="n">
        <x:v>91793.69722222222</x:v>
      </x:c>
      <x:c r="J11" s="18" t="n">
        <x:v>0.7642437357451866</x:v>
      </x:c>
      <x:c r="K11" s="18" t="n">
        <x:v>0.747575376827715</x:v>
      </x:c>
      <x:c r="L11" s="18" t="n">
        <x:v>0.7808099529610638</x:v>
      </x:c>
      <x:c r="M11" s="18" t="n">
        <x:v>-0.0457850965014158</x:v>
      </x:c>
      <x:c r="N11" s="18" t="n">
        <x:v>-0.0510722196042375</x:v>
      </x:c>
      <x:c r="O11" s="18" t="n">
        <x:v>-0.0410204580917968</x:v>
      </x:c>
      <x:c r="P11" s="18" t="n">
        <x:v>0.9189871276587482</x:v>
      </x:c>
      <x:c r="Q11" s="18" t="n">
        <x:v>0.8704727243128831</x:v>
      </x:c>
      <x:c r="R11" s="18" t="n">
        <x:v>0.971462926583346</x:v>
      </x:c>
      <x:c r="S11" s="18" t="n">
        <x:v>1.0928895899071778</x:v>
      </x:c>
      <x:c r="T11" s="18" t="n">
        <x:v>1.0421880838972355</x:v>
      </x:c>
      <x:c r="U11" s="18" t="n">
        <x:v>1.1465855502766005</x:v>
      </x:c>
      <x:c r="V11" s="18" t="n">
        <x:v>0.2007989729052851</x:v>
      </x:c>
      <x:c r="W11" s="18" t="n">
        <x:v>0.1911634086638815</x:v>
      </x:c>
      <x:c r="X11" s="18" t="n">
        <x:v>0.2104571408180078</x:v>
      </x:c>
      <x:c r="Y11" s="18" t="n">
        <x:v>0.3737046521553563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8" t="n">
        <x:v>262221.8333333333</x:v>
      </x:c>
      <x:c r="E12" s="18" t="n">
        <x:v>79485.68055555556</x:v>
      </x:c>
      <x:c r="F12" s="18" t="n">
        <x:v>0.3031238075988672</x:v>
      </x:c>
      <x:c r="G12" s="18" t="n">
        <x:v>0.2936000766997126</x:v>
      </x:c>
      <x:c r="H12" s="18" t="n">
        <x:v>0.3131568551298618</x:v>
      </x:c>
      <x:c r="I12" s="18" t="n">
        <x:v>74908.40277777778</x:v>
      </x:c>
      <x:c r="J12" s="18" t="n">
        <x:v>0.2856680613721249</x:v>
      </x:c>
      <x:c r="K12" s="18" t="n">
        <x:v>0.2767595390629442</x:v>
      </x:c>
      <x:c r="L12" s="18" t="n">
        <x:v>0.2949429558748526</x:v>
      </x:c>
      <x:c r="M12" s="18" t="n">
        <x:v>-0.0174557462267423</x:v>
      </x:c>
      <x:c r="N12" s="18" t="n">
        <x:v>-0.019027712514179</x:v>
      </x:c>
      <x:c r="O12" s="18" t="n">
        <x:v>-0.0159929465501042</x:v>
      </x:c>
      <x:c r="P12" s="18" t="n">
        <x:v>0.7129683940541043</x:v>
      </x:c>
      <x:c r="Q12" s="18" t="n">
        <x:v>0.6854098444743217</x:v>
      </x:c>
      <x:c r="R12" s="18" t="n">
        <x:v>0.73977125267547</x:v>
      </x:c>
      <x:c r="S12" s="18" t="n">
        <x:v>0.7605776746131494</x:v>
      </x:c>
      <x:c r="T12" s="18" t="n">
        <x:v>0.7328207365539844</x:v>
      </x:c>
      <x:c r="U12" s="18" t="n">
        <x:v>0.7877237185425093</x:v>
      </x:c>
      <x:c r="V12" s="18" t="n">
        <x:v>0.0613454929257787</x:v>
      </x:c>
      <x:c r="W12" s="18" t="n">
        <x:v>0.0594747134336016</x:v>
      </x:c>
      <x:c r="X12" s="18" t="n">
        <x:v>0.0634470023488429</x:v>
      </x:c>
      <x:c r="Y12" s="18" t="n">
        <x:v>1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8" t="n">
        <x:v>262221.8333333333</x:v>
      </x:c>
      <x:c r="E13" s="18" t="n">
        <x:v>122980.5611111111</x:v>
      </x:c>
      <x:c r="F13" s="18" t="n">
        <x:v>0.4689943607967215</x:v>
      </x:c>
      <x:c r="G13" s="18" t="n">
        <x:v>0.4544730029985244</x:v>
      </x:c>
      <x:c r="H13" s="18" t="n">
        <x:v>0.4825862654172647</x:v>
      </x:c>
      <x:c r="I13" s="18" t="n">
        <x:v>117108.50555555554</x:v>
      </x:c>
      <x:c r="J13" s="18" t="n">
        <x:v>0.4466008953826838</x:v>
      </x:c>
      <x:c r="K13" s="18" t="n">
        <x:v>0.4332426473987431</x:v>
      </x:c>
      <x:c r="L13" s="18" t="n">
        <x:v>0.4595079889310925</x:v>
      </x:c>
      <x:c r="M13" s="18" t="n">
        <x:v>-0.0223934654140377</x:v>
      </x:c>
      <x:c r="N13" s="18" t="n">
        <x:v>-0.024583999578373</x:v>
      </x:c>
      <x:c r="O13" s="18" t="n">
        <x:v>-0.0204216065415385</x:v>
      </x:c>
      <x:c r="P13" s="18" t="n">
        <x:v>1.2196605904183662</x:v>
      </x:c>
      <x:c r="Q13" s="18" t="n">
        <x:v>1.1736645455284709</x:v>
      </x:c>
      <x:c r="R13" s="18" t="n">
        <x:v>1.2652288021576208</x:v>
      </x:c>
      <x:c r="S13" s="18" t="n">
        <x:v>1.3143394838003308</x:v>
      </x:c>
      <x:c r="T13" s="18" t="n">
        <x:v>1.2665019778862252</x:v>
      </x:c>
      <x:c r="U13" s="18" t="n">
        <x:v>1.3604599222563911</x:v>
      </x:c>
      <x:c r="V13" s="18" t="n">
        <x:v>0.1153370061040563</x:v>
      </x:c>
      <x:c r="W13" s="18" t="n">
        <x:v>0.1109054454424917</x:v>
      </x:c>
      <x:c r="X13" s="18" t="n">
        <x:v>0.119641378446695</x:v>
      </x:c>
      <x:c r="Y13" s="18" t="n">
        <x:v>0.8490765937375278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8" t="n">
        <x:v>262221.8333333333</x:v>
      </x:c>
      <x:c r="E14" s="18" t="n">
        <x:v>131955.54166666666</x:v>
      </x:c>
      <x:c r="F14" s="18" t="n">
        <x:v>0.5032210323193276</x:v>
      </x:c>
      <x:c r="G14" s="18" t="n">
        <x:v>0.4882411564028137</x:v>
      </x:c>
      <x:c r="H14" s="18" t="n">
        <x:v>0.5169650799336916</x:v>
      </x:c>
      <x:c r="I14" s="18" t="n">
        <x:v>125818.06018518515</x:v>
      </x:c>
      <x:c r="J14" s="18" t="n">
        <x:v>0.4798153478899933</x:v>
      </x:c>
      <x:c r="K14" s="18" t="n">
        <x:v>0.4663756711824853</x:v>
      </x:c>
      <x:c r="L14" s="18" t="n">
        <x:v>0.4926571714549627</x:v>
      </x:c>
      <x:c r="M14" s="18" t="n">
        <x:v>-0.0234056844293342</x:v>
      </x:c>
      <x:c r="N14" s="18" t="n">
        <x:v>-0.0257136562613975</x:v>
      </x:c>
      <x:c r="O14" s="18" t="n">
        <x:v>-0.0212838494954672</x:v>
      </x:c>
      <x:c r="P14" s="18" t="n">
        <x:v>1.340954462034787</x:v>
      </x:c>
      <x:c r="Q14" s="18" t="n">
        <x:v>1.2903115642651874</x:v>
      </x:c>
      <x:c r="R14" s="18" t="n">
        <x:v>1.3916059754548966</x:v>
      </x:c>
      <x:c r="S14" s="18" t="n">
        <x:v>1.4468254198846082</x:v>
      </x:c>
      <x:c r="T14" s="18" t="n">
        <x:v>1.3941584443618569</x:v>
      </x:c>
      <x:c r="U14" s="18" t="n">
        <x:v>1.49843561821836</x:v>
      </x:c>
      <x:c r="V14" s="18" t="n">
        <x:v>0.1288164256141189</x:v>
      </x:c>
      <x:c r="W14" s="18" t="n">
        <x:v>0.1238399215620559</x:v>
      </x:c>
      <x:c r="X14" s="18" t="n">
        <x:v>0.1344794623811371</x:v>
      </x:c>
      <x:c r="Y14" s="18" t="n">
        <x:v>0.802450322315349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8" t="n">
        <x:v>262221.8333333333</x:v>
      </x:c>
      <x:c r="E15" s="18" t="n">
        <x:v>156657.8111111111</x:v>
      </x:c>
      <x:c r="F15" s="18" t="n">
        <x:v>0.5974247419434733</x:v>
      </x:c>
      <x:c r="G15" s="18" t="n">
        <x:v>0.5814571937502134</x:v>
      </x:c>
      <x:c r="H15" s="18" t="n">
        <x:v>0.6126324766090073</x:v>
      </x:c>
      <x:c r="I15" s="18" t="n">
        <x:v>150251.06944444444</x:v>
      </x:c>
      <x:c r="J15" s="18" t="n">
        <x:v>0.5729922163020157</x:v>
      </x:c>
      <x:c r="K15" s="18" t="n">
        <x:v>0.5578223060919201</x:v>
      </x:c>
      <x:c r="L15" s="18" t="n">
        <x:v>0.586776748290535</x:v>
      </x:c>
      <x:c r="M15" s="18" t="n">
        <x:v>-0.0244325256414575</x:v>
      </x:c>
      <x:c r="N15" s="18" t="n">
        <x:v>-0.0271664308416516</x:v>
      </x:c>
      <x:c r="O15" s="18" t="n">
        <x:v>-0.021810710531806</x:v>
      </x:c>
      <x:c r="P15" s="18" t="n">
        <x:v>1.6919342974668123</x:v>
      </x:c>
      <x:c r="Q15" s="18" t="n">
        <x:v>1.6287432359169205</x:v>
      </x:c>
      <x:c r="R15" s="18" t="n">
        <x:v>1.756369495230963</x:v>
      </x:c>
      <x:c r="S15" s="18" t="n">
        <x:v>1.8402399392672424</x:v>
      </x:c>
      <x:c r="T15" s="18" t="n">
        <x:v>1.7744846191514387</x:v>
      </x:c>
      <x:c r="U15" s="18" t="n">
        <x:v>1.9068707805096576</x:v>
      </x:c>
      <x:c r="V15" s="18" t="n">
        <x:v>0.1762130226197301</x:v>
      </x:c>
      <x:c r="W15" s="18" t="n">
        <x:v>0.1691881818312058</x:v>
      </x:c>
      <x:c r="X15" s="18" t="n">
        <x:v>0.1834573211298584</x:v>
      </x:c>
      <x:c r="Y15" s="18" t="n">
        <x:v>0.657762780740902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8" t="n">
        <x:v>262221.8333333333</x:v>
      </x:c>
      <x:c r="E16" s="18" t="n">
        <x:v>185640.6222222222</x:v>
      </x:c>
      <x:c r="F16" s="18" t="n">
        <x:v>0.7079525753533956</x:v>
      </x:c>
      <x:c r="G16" s="18" t="n">
        <x:v>0.6920016405090013</x:v>
      </x:c>
      <x:c r="H16" s="18" t="n">
        <x:v>0.7225371806382715</x:v>
      </x:c>
      <x:c r="I16" s="18" t="n">
        <x:v>178451.375</x:v>
      </x:c>
      <x:c r="J16" s="18" t="n">
        <x:v>0.6805359139303809</x:v>
      </x:c>
      <x:c r="K16" s="18" t="n">
        <x:v>0.6657157621371649</x:v>
      </x:c>
      <x:c r="L16" s="18" t="n">
        <x:v>0.6943394779252858</x:v>
      </x:c>
      <x:c r="M16" s="18" t="n">
        <x:v>-0.0274166614230147</x:v>
      </x:c>
      <x:c r="N16" s="18" t="n">
        <x:v>-0.0305983536644552</x:v>
      </x:c>
      <x:c r="O16" s="18" t="n">
        <x:v>-0.0243043761397579</x:v>
      </x:c>
      <x:c r="P16" s="18" t="n">
        <x:v>2.110656913140823</x:v>
      </x:c>
      <x:c r="Q16" s="18" t="n">
        <x:v>2.0282664578545915</x:v>
      </x:c>
      <x:c r="R16" s="18" t="n">
        <x:v>2.1987991955099413</x:v>
      </x:c>
      <x:c r="S16" s="18" t="n">
        <x:v>2.3533586693335535</x:v>
      </x:c>
      <x:c r="T16" s="18" t="n">
        <x:v>2.2649599077649065</x:v>
      </x:c>
      <x:c r="U16" s="18" t="n">
        <x:v>2.4392757542118293</x:v>
      </x:c>
      <x:c r="V16" s="18" t="n">
        <x:v>0.2845898683423599</x:v>
      </x:c>
      <x:c r="W16" s="18" t="n">
        <x:v>0.2721937204426664</x:v>
      </x:c>
      <x:c r="X16" s="18" t="n">
        <x:v>0.2967975502681444</x:v>
      </x:c>
      <x:c r="Y16" s="18" t="n">
        <x:v>0.4728130329088205</x:v>
      </x:c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9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3" hidden="0" customWidth="1"/>
    <x:col min="10" max="10" width="20" hidden="0" customWidth="1"/>
    <x:col min="11" max="11" width="20" hidden="0" customWidth="1"/>
    <x:col min="12" max="12" width="20" hidden="0" customWidth="1"/>
    <x:col min="13" max="13" width="21" hidden="0" customWidth="1"/>
    <x:col min="14" max="14" width="21" hidden="0" customWidth="1"/>
    <x:col min="15" max="15" width="21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21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n_cases</x:v>
      </x:c>
      <x:c r="D1" s="14" t="str">
        <x:v>true_auc_total</x:v>
      </x:c>
      <x:c r="E1" s="14" t="str">
        <x:v>hidden_auc_total</x:v>
      </x:c>
      <x:c r="F1" s="14" t="str">
        <x:v>HDR</x:v>
      </x:c>
      <x:c r="G1" s="14" t="str">
        <x:v>HDR_ci_low</x:v>
      </x:c>
      <x:c r="H1" s="14" t="str">
        <x:v>HDR_ci_high</x:v>
      </x:c>
      <x:c r="I1" s="14" t="str">
        <x:v>overdisplay_auc_total</x:v>
      </x:c>
      <x:c r="J1" s="14" t="str">
        <x:v>ODR</x:v>
      </x:c>
      <x:c r="K1" s="14" t="str">
        <x:v>ODR_ci_low</x:v>
      </x:c>
      <x:c r="L1" s="14" t="str">
        <x:v>ODR_ci_high</x:v>
      </x:c>
      <x:c r="M1" s="14" t="str">
        <x:v>NetBias</x:v>
      </x:c>
      <x:c r="N1" s="14" t="str">
        <x:v>NetBias_ci_low</x:v>
      </x:c>
      <x:c r="O1" s="14" t="str">
        <x:v>NetBias_ci_high</x:v>
      </x:c>
      <x:c r="P1" s="14" t="str">
        <x:v>normotensive_display_discordance_min_per_anesthesia_hour</x:v>
      </x:c>
      <x:c r="Q1" s="14" t="str">
        <x:v>normotensive_display_discordance_ci_low</x:v>
      </x:c>
      <x:c r="R1" s="14" t="str">
        <x:v>normotensive_display_discordance_ci_high</x:v>
      </x:c>
      <x:c r="S1" s="14" t="str">
        <x:v>hypotensive_display_discordance_min_per_anesthesia_hour</x:v>
      </x:c>
      <x:c r="T1" s="14" t="str">
        <x:v>hypotensive_display_discordance_ci_low</x:v>
      </x:c>
      <x:c r="U1" s="14" t="str">
        <x:v>hypotensive_display_discordance_ci_high</x:v>
      </x:c>
      <x:c r="V1" s="14" t="str">
        <x:v>reference_hypotension_with_display_unavailable_min_per_anesthesia_hour</x:v>
      </x:c>
      <x:c r="W1" s="14" t="str">
        <x:v>reference_hypotension_with_display_unavailable_ci_low</x:v>
      </x:c>
      <x:c r="X1" s="14" t="str">
        <x:v>reference_hypotension_with_display_unavailable_ci_high</x:v>
      </x:c>
      <x:c r="Y1" s="14" t="str">
        <x:v>episode_sensitivity</x:v>
      </x:c>
    </x:row>
    <x:row r="2">
      <x:c r="A2" s="16" t="n">
        <x:v>55</x:v>
      </x:c>
      <x:c r="B2" s="18" t="n">
        <x:v>1</x:v>
      </x:c>
      <x:c r="C2" s="16" t="n">
        <x:v>2435</x:v>
      </x:c>
      <x:c r="D2" s="18" t="n">
        <x:v>65826.83333333333</x:v>
      </x:c>
      <x:c r="E2" s="18" t="n">
        <x:v>32430.347222222223</x:v>
      </x:c>
      <x:c r="F2" s="18" t="n">
        <x:v>0.4926615117273182</x:v>
      </x:c>
      <x:c r="G2" s="18" t="n">
        <x:v>0.4717328764207174</x:v>
      </x:c>
      <x:c r="H2" s="18" t="n">
        <x:v>0.5127545564803715</x:v>
      </x:c>
      <x:c r="I2" s="18" t="n">
        <x:v>29160.61111111111</x:v>
      </x:c>
      <x:c r="J2" s="18" t="n">
        <x:v>0.4429897297876668</x:v>
      </x:c>
      <x:c r="K2" s="18" t="n">
        <x:v>0.4235348459239745</x:v>
      </x:c>
      <x:c r="L2" s="18" t="n">
        <x:v>0.4607817950380766</x:v>
      </x:c>
      <x:c r="M2" s="18" t="n">
        <x:v>-0.0496717819396514</x:v>
      </x:c>
      <x:c r="N2" s="18" t="n">
        <x:v>-0.0540998537827277</x:v>
      </x:c>
      <x:c r="O2" s="18" t="n">
        <x:v>-0.045535015652178</x:v>
      </x:c>
      <x:c r="P2" s="18" t="n">
        <x:v>0.1928765584847648</x:v>
      </x:c>
      <x:c r="Q2" s="18" t="n">
        <x:v>0.1824698426323563</x:v>
      </x:c>
      <x:c r="R2" s="18" t="n">
        <x:v>0.2041766695558966</x:v>
      </x:c>
      <x:c r="S2" s="18" t="n">
        <x:v>0.2300607011135393</x:v>
      </x:c>
      <x:c r="T2" s="18" t="n">
        <x:v>0.2197734462399562</x:v>
      </x:c>
      <x:c r="U2" s="18" t="n">
        <x:v>0.2415154411702841</x:v>
      </x:c>
      <x:c r="V2" s="18" t="n">
        <x:v>0.0501609078615148</x:v>
      </x:c>
      <x:c r="W2" s="18" t="n">
        <x:v>0.0484090195112623</x:v>
      </x:c>
      <x:c r="X2" s="18" t="n">
        <x:v>0.0520659330084869</x:v>
      </x:c>
      <x:c r="Y2" s="18" t="n">
        <x:v>1</x:v>
      </x:c>
    </x:row>
    <x:row r="3">
      <x:c r="A3" s="16" t="n">
        <x:v>55</x:v>
      </x:c>
      <x:c r="B3" s="18" t="n">
        <x:v>2.5</x:v>
      </x:c>
      <x:c r="C3" s="16" t="n">
        <x:v>2435</x:v>
      </x:c>
      <x:c r="D3" s="18" t="n">
        <x:v>65826.83333333333</x:v>
      </x:c>
      <x:c r="E3" s="18" t="n">
        <x:v>44952.83888888889</x:v>
      </x:c>
      <x:c r="F3" s="18" t="n">
        <x:v>0.6828953576007083</x:v>
      </x:c>
      <x:c r="G3" s="18" t="n">
        <x:v>0.6585083870467846</x:v>
      </x:c>
      <x:c r="H3" s="18" t="n">
        <x:v>0.7051092363208078</x:v>
      </x:c>
      <x:c r="I3" s="18" t="n">
        <x:v>40844.894444444435</x:v>
      </x:c>
      <x:c r="J3" s="18" t="n">
        <x:v>0.6204900399448721</x:v>
      </x:c>
      <x:c r="K3" s="18" t="n">
        <x:v>0.5984429589618717</x:v>
      </x:c>
      <x:c r="L3" s="18" t="n">
        <x:v>0.6405279201369606</x:v>
      </x:c>
      <x:c r="M3" s="18" t="n">
        <x:v>-0.0624053176558361</x:v>
      </x:c>
      <x:c r="N3" s="18" t="n">
        <x:v>-0.0679998239498716</x:v>
      </x:c>
      <x:c r="O3" s="18" t="n">
        <x:v>-0.0568724569587848</x:v>
      </x:c>
      <x:c r="P3" s="18" t="n">
        <x:v>0.2806341268501095</x:v>
      </x:c>
      <x:c r="Q3" s="18" t="n">
        <x:v>0.2644098159722509</x:v>
      </x:c>
      <x:c r="R3" s="18" t="n">
        <x:v>0.2980024564304744</x:v>
      </x:c>
      <x:c r="S3" s="18" t="n">
        <x:v>0.3484274410112383</x:v>
      </x:c>
      <x:c r="T3" s="18" t="n">
        <x:v>0.331804518372548</x:v>
      </x:c>
      <x:c r="U3" s="18" t="n">
        <x:v>0.3666900515642479</x:v>
      </x:c>
      <x:c r="V3" s="18" t="n">
        <x:v>0.0841962215779067</x:v>
      </x:c>
      <x:c r="W3" s="18" t="n">
        <x:v>0.0806346106907466</x:v>
      </x:c>
      <x:c r="X3" s="18" t="n">
        <x:v>0.0877275531591836</x:v>
      </x:c>
      <x:c r="Y3" s="18" t="n">
        <x:v>0.7519071310116087</x:v>
      </x:c>
    </x:row>
    <x:row r="4">
      <x:c r="A4" s="16" t="n">
        <x:v>55</x:v>
      </x:c>
      <x:c r="B4" s="18" t="n">
        <x:v>3</x:v>
      </x:c>
      <x:c r="C4" s="16" t="n">
        <x:v>2435</x:v>
      </x:c>
      <x:c r="D4" s="18" t="n">
        <x:v>65826.83333333333</x:v>
      </x:c>
      <x:c r="E4" s="18" t="n">
        <x:v>47019.31018518518</x:v>
      </x:c>
      <x:c r="F4" s="18" t="n">
        <x:v>0.7142878945291082</x:v>
      </x:c>
      <x:c r="G4" s="18" t="n">
        <x:v>0.6904980046308838</x:v>
      </x:c>
      <x:c r="H4" s="18" t="n">
        <x:v>0.7377268194962168</x:v>
      </x:c>
      <x:c r="I4" s="18" t="n">
        <x:v>42772.69907407407</x:v>
      </x:c>
      <x:c r="J4" s="18" t="n">
        <x:v>0.6497760397721407</x:v>
      </x:c>
      <x:c r="K4" s="18" t="n">
        <x:v>0.6276061921095174</x:v>
      </x:c>
      <x:c r="L4" s="18" t="n">
        <x:v>0.6701912669636111</x:v>
      </x:c>
      <x:c r="M4" s="18" t="n">
        <x:v>-0.0645118547569675</x:v>
      </x:c>
      <x:c r="N4" s="18" t="n">
        <x:v>-0.0709417148638431</x:v>
      </x:c>
      <x:c r="O4" s="18" t="n">
        <x:v>-0.0587940292393305</x:v>
      </x:c>
      <x:c r="P4" s="18" t="n">
        <x:v>0.2964615037494346</x:v>
      </x:c>
      <x:c r="Q4" s="18" t="n">
        <x:v>0.2772518494476365</x:v>
      </x:c>
      <x:c r="R4" s="18" t="n">
        <x:v>0.3144132161334202</x:v>
      </x:c>
      <x:c r="S4" s="18" t="n">
        <x:v>0.3707703373374033</x:v>
      </x:c>
      <x:c r="T4" s="18" t="n">
        <x:v>0.3507977488648554</x:v>
      </x:c>
      <x:c r="U4" s="18" t="n">
        <x:v>0.3893612577318306</x:v>
      </x:c>
      <x:c r="V4" s="18" t="n">
        <x:v>0.0913906407154375</x:v>
      </x:c>
      <x:c r="W4" s="18" t="n">
        <x:v>0.0871014894565445</x:v>
      </x:c>
      <x:c r="X4" s="18" t="n">
        <x:v>0.0956904747962196</x:v>
      </x:c>
      <x:c r="Y4" s="18" t="n">
        <x:v>0.683605780620706</x:v>
      </x:c>
    </x:row>
    <x:row r="5">
      <x:c r="A5" s="16" t="n">
        <x:v>55</x:v>
      </x:c>
      <x:c r="B5" s="18" t="n">
        <x:v>5</x:v>
      </x:c>
      <x:c r="C5" s="16" t="n">
        <x:v>2435</x:v>
      </x:c>
      <x:c r="D5" s="18" t="n">
        <x:v>65826.83333333333</x:v>
      </x:c>
      <x:c r="E5" s="18" t="n">
        <x:v>52196.225000000006</x:v>
      </x:c>
      <x:c r="F5" s="18" t="n">
        <x:v>0.792932340155104</x:v>
      </x:c>
      <x:c r="G5" s="18" t="n">
        <x:v>0.7678969476865211</x:v>
      </x:c>
      <x:c r="H5" s="18" t="n">
        <x:v>0.8131092099300875</x:v>
      </x:c>
      <x:c r="I5" s="18" t="n">
        <x:v>47939.50277777777</x:v>
      </x:c>
      <x:c r="J5" s="18" t="n">
        <x:v>0.7282668837345122</x:v>
      </x:c>
      <x:c r="K5" s="18" t="n">
        <x:v>0.7056561732009629</x:v>
      </x:c>
      <x:c r="L5" s="18" t="n">
        <x:v>0.7469690579675997</x:v>
      </x:c>
      <x:c r="M5" s="18" t="n">
        <x:v>-0.0646654564205919</x:v>
      </x:c>
      <x:c r="N5" s="18" t="n">
        <x:v>-0.0718390709721302</x:v>
      </x:c>
      <x:c r="O5" s="18" t="n">
        <x:v>-0.0586494293129081</x:v>
      </x:c>
      <x:c r="P5" s="18" t="n">
        <x:v>0.3339651511573082</x:v>
      </x:c>
      <x:c r="Q5" s="18" t="n">
        <x:v>0.3133406092464237</x:v>
      </x:c>
      <x:c r="R5" s="18" t="n">
        <x:v>0.3563789314561789</x:v>
      </x:c>
      <x:c r="S5" s="18" t="n">
        <x:v>0.4293925602372466</x:v>
      </x:c>
      <x:c r="T5" s="18" t="n">
        <x:v>0.4075963864589509</x:v>
      </x:c>
      <x:c r="U5" s="18" t="n">
        <x:v>0.4534157231326303</x:v>
      </x:c>
      <x:c r="V5" s="18" t="n">
        <x:v>0.1131386367866411</x:v>
      </x:c>
      <x:c r="W5" s="18" t="n">
        <x:v>0.1075053493856695</x:v>
      </x:c>
      <x:c r="X5" s="18" t="n">
        <x:v>0.1184161796077213</x:v>
      </x:c>
      <x:c r="Y5" s="18" t="n">
        <x:v>0.50075811419095</x:v>
      </x:c>
    </x:row>
    <x:row r="6">
      <x:c r="A6" s="16" t="n">
        <x:v>55</x:v>
      </x:c>
      <x:c r="B6" s="18" t="n">
        <x:v>10</x:v>
      </x:c>
      <x:c r="C6" s="16" t="n">
        <x:v>2435</x:v>
      </x:c>
      <x:c r="D6" s="18" t="n">
        <x:v>65826.83333333333</x:v>
      </x:c>
      <x:c r="E6" s="18" t="n">
        <x:v>57233.96111111111</x:v>
      </x:c>
      <x:c r="F6" s="18" t="n">
        <x:v>0.8694624701341821</x:v>
      </x:c>
      <x:c r="G6" s="18" t="n">
        <x:v>0.8505865663839545</x:v>
      </x:c>
      <x:c r="H6" s="18" t="n">
        <x:v>0.8888676313044542</x:v>
      </x:c>
      <x:c r="I6" s="18" t="n">
        <x:v>52862.67638888888</x:v>
      </x:c>
      <x:c r="J6" s="18" t="n">
        <x:v>0.8030566520069914</x:v>
      </x:c>
      <x:c r="K6" s="18" t="n">
        <x:v>0.7858094803732508</x:v>
      </x:c>
      <x:c r="L6" s="18" t="n">
        <x:v>0.8203015137193459</x:v>
      </x:c>
      <x:c r="M6" s="18" t="n">
        <x:v>-0.0664058181271906</x:v>
      </x:c>
      <x:c r="N6" s="18" t="n">
        <x:v>-0.0742090642468753</x:v>
      </x:c>
      <x:c r="O6" s="18" t="n">
        <x:v>-0.0591289072860422</x:v>
      </x:c>
      <x:c r="P6" s="18" t="n">
        <x:v>0.3621639410473409</x:v>
      </x:c>
      <x:c r="Q6" s="18" t="n">
        <x:v>0.3356034094819368</x:v>
      </x:c>
      <x:c r="R6" s="18" t="n">
        <x:v>0.3915570951554207</x:v>
      </x:c>
      <x:c r="S6" s="18" t="n">
        <x:v>0.4903255352879699</x:v>
      </x:c>
      <x:c r="T6" s="18" t="n">
        <x:v>0.4612068875199601</x:v>
      </x:c>
      <x:c r="U6" s="18" t="n">
        <x:v>0.5215369253102995</x:v>
      </x:c>
      <x:c r="V6" s="18" t="n">
        <x:v>0.1482947103644109</x:v>
      </x:c>
      <x:c r="W6" s="18" t="n">
        <x:v>0.1407523406521181</x:v>
      </x:c>
      <x:c r="X6" s="18" t="n">
        <x:v>0.1562292479330387</x:v>
      </x:c>
      <x:c r="Y6" s="18" t="n">
        <x:v>0.3127339493011135</x:v>
      </x:c>
    </x:row>
    <x:row r="7">
      <x:c r="A7" s="16" t="n">
        <x:v>60</x:v>
      </x:c>
      <x:c r="B7" s="18" t="n">
        <x:v>1</x:v>
      </x:c>
      <x:c r="C7" s="16" t="n">
        <x:v>2435</x:v>
      </x:c>
      <x:c r="D7" s="18" t="n">
        <x:v>120110.5</x:v>
      </x:c>
      <x:c r="E7" s="18" t="n">
        <x:v>49180.19444444444</x:v>
      </x:c>
      <x:c r="F7" s="18" t="n">
        <x:v>0.409457911210464</x:v>
      </x:c>
      <x:c r="G7" s="18" t="n">
        <x:v>0.3943923425298739</x:v>
      </x:c>
      <x:c r="H7" s="18" t="n">
        <x:v>0.4249590855923009</x:v>
      </x:c>
      <x:c r="I7" s="18" t="n">
        <x:v>45269.01388888888</x:v>
      </x:c>
      <x:c r="J7" s="18" t="n">
        <x:v>0.3768947251813029</x:v>
      </x:c>
      <x:c r="K7" s="18" t="n">
        <x:v>0.3632749304403916</x:v>
      </x:c>
      <x:c r="L7" s="18" t="n">
        <x:v>0.3909207381648396</x:v>
      </x:c>
      <x:c r="M7" s="18" t="n">
        <x:v>-0.0325631860291611</x:v>
      </x:c>
      <x:c r="N7" s="18" t="n">
        <x:v>-0.0353999286583372</x:v>
      </x:c>
      <x:c r="O7" s="18" t="n">
        <x:v>-0.0299739713127742</x:v>
      </x:c>
      <x:c r="P7" s="18" t="n">
        <x:v>0.3782880968456191</x:v>
      </x:c>
      <x:c r="Q7" s="18" t="n">
        <x:v>0.3615279309435162</x:v>
      </x:c>
      <x:c r="R7" s="18" t="n">
        <x:v>0.3959397094687931</x:v>
      </x:c>
      <x:c r="S7" s="18" t="n">
        <x:v>0.4199426214676718</x:v>
      </x:c>
      <x:c r="T7" s="18" t="n">
        <x:v>0.4029120524561747</x:v>
      </x:c>
      <x:c r="U7" s="18" t="n">
        <x:v>0.4377600685174235</x:v>
      </x:c>
      <x:c r="V7" s="18" t="n">
        <x:v>0.0552181353674242</x:v>
      </x:c>
      <x:c r="W7" s="18" t="n">
        <x:v>0.0533593609560103</x:v>
      </x:c>
      <x:c r="X7" s="18" t="n">
        <x:v>0.0570906009444534</x:v>
      </x:c>
      <x:c r="Y7" s="18" t="n">
        <x:v>1</x:v>
      </x:c>
    </x:row>
    <x:row r="8">
      <x:c r="A8" s="16" t="n">
        <x:v>60</x:v>
      </x:c>
      <x:c r="B8" s="18" t="n">
        <x:v>2.5</x:v>
      </x:c>
      <x:c r="C8" s="16" t="n">
        <x:v>2435</x:v>
      </x:c>
      <x:c r="D8" s="18" t="n">
        <x:v>120110.5</x:v>
      </x:c>
      <x:c r="E8" s="18" t="n">
        <x:v>71530.43333333332</x:v>
      </x:c>
      <x:c r="F8" s="18" t="n">
        <x:v>0.5955385526938387</x:v>
      </x:c>
      <x:c r="G8" s="18" t="n">
        <x:v>0.5753943054789009</x:v>
      </x:c>
      <x:c r="H8" s="18" t="n">
        <x:v>0.6139958250003461</x:v>
      </x:c>
      <x:c r="I8" s="18" t="n">
        <x:v>66594.61666666667</x:v>
      </x:c>
      <x:c r="J8" s="18" t="n">
        <x:v>0.5544445878309279</x:v>
      </x:c>
      <x:c r="K8" s="18" t="n">
        <x:v>0.536371302982288</x:v>
      </x:c>
      <x:c r="L8" s="18" t="n">
        <x:v>0.5710156553423231</x:v>
      </x:c>
      <x:c r="M8" s="18" t="n">
        <x:v>-0.0410939648629108</x:v>
      </x:c>
      <x:c r="N8" s="18" t="n">
        <x:v>-0.0451093831126379</x:v>
      </x:c>
      <x:c r="O8" s="18" t="n">
        <x:v>-0.036958329935073</x:v>
      </x:c>
      <x:c r="P8" s="18" t="n">
        <x:v>0.6125585515041799</x:v>
      </x:c>
      <x:c r="Q8" s="18" t="n">
        <x:v>0.5821141406873936</x:v>
      </x:c>
      <x:c r="R8" s="18" t="n">
        <x:v>0.6424624602534639</x:v>
      </x:c>
      <x:c r="S8" s="18" t="n">
        <x:v>0.6921106387899705</x:v>
      </x:c>
      <x:c r="T8" s="18" t="n">
        <x:v>0.6602661220026866</x:v>
      </x:c>
      <x:c r="U8" s="18" t="n">
        <x:v>0.7221540913971431</x:v>
      </x:c>
      <x:c r="V8" s="18" t="n">
        <x:v>0.0976085182352174</x:v>
      </x:c>
      <x:c r="W8" s="18" t="n">
        <x:v>0.0936942831021564</x:v>
      </x:c>
      <x:c r="X8" s="18" t="n">
        <x:v>0.1016544343130426</x:v>
      </x:c>
      <x:c r="Y8" s="18" t="n">
        <x:v>0.79651728553137</x:v>
      </x:c>
    </x:row>
    <x:row r="9">
      <x:c r="A9" s="16" t="n">
        <x:v>60</x:v>
      </x:c>
      <x:c r="B9" s="18" t="n">
        <x:v>3</x:v>
      </x:c>
      <x:c r="C9" s="16" t="n">
        <x:v>2435</x:v>
      </x:c>
      <x:c r="D9" s="18" t="n">
        <x:v>120110.5</x:v>
      </x:c>
      <x:c r="E9" s="18" t="n">
        <x:v>75612.58796296296</x:v>
      </x:c>
      <x:c r="F9" s="18" t="n">
        <x:v>0.6295252118920741</x:v>
      </x:c>
      <x:c r="G9" s="18" t="n">
        <x:v>0.6097428292016002</x:v>
      </x:c>
      <x:c r="H9" s="18" t="n">
        <x:v>0.6474385189908423</x:v>
      </x:c>
      <x:c r="I9" s="18" t="n">
        <x:v>70489.95370370371</x:v>
      </x:c>
      <x:c r="J9" s="18" t="n">
        <x:v>0.586875866004252</x:v>
      </x:c>
      <x:c r="K9" s="18" t="n">
        <x:v>0.56916210923764</x:v>
      </x:c>
      <x:c r="L9" s="18" t="n">
        <x:v>0.6029447344931383</x:v>
      </x:c>
      <x:c r="M9" s="18" t="n">
        <x:v>-0.042649345887822</x:v>
      </x:c>
      <x:c r="N9" s="18" t="n">
        <x:v>-0.0464098943468104</x:v>
      </x:c>
      <x:c r="O9" s="18" t="n">
        <x:v>-0.0386534438123532</x:v>
      </x:c>
      <x:c r="P9" s="18" t="n">
        <x:v>0.6620844771786615</x:v>
      </x:c>
      <x:c r="Q9" s="18" t="n">
        <x:v>0.6312612173080238</x:v>
      </x:c>
      <x:c r="R9" s="18" t="n">
        <x:v>0.694058711552002</x:v>
      </x:c>
      <x:c r="S9" s="18" t="n">
        <x:v>0.7500528113016474</x:v>
      </x:c>
      <x:c r="T9" s="18" t="n">
        <x:v>0.7185333780778957</x:v>
      </x:c>
      <x:c r="U9" s="18" t="n">
        <x:v>0.7822247340221775</x:v>
      </x:c>
      <x:c r="V9" s="18" t="n">
        <x:v>0.1073975233009791</x:v>
      </x:c>
      <x:c r="W9" s="18" t="n">
        <x:v>0.1030501706570122</x:v>
      </x:c>
      <x:c r="X9" s="18" t="n">
        <x:v>0.1121748225753087</x:v>
      </x:c>
      <x:c r="Y9" s="18" t="n">
        <x:v>0.7367335325081804</x:v>
      </x:c>
    </x:row>
    <x:row r="10">
      <x:c r="A10" s="16" t="n">
        <x:v>60</x:v>
      </x:c>
      <x:c r="B10" s="18" t="n">
        <x:v>5</x:v>
      </x:c>
      <x:c r="C10" s="16" t="n">
        <x:v>2435</x:v>
      </x:c>
      <x:c r="D10" s="18" t="n">
        <x:v>120110.5</x:v>
      </x:c>
      <x:c r="E10" s="18" t="n">
        <x:v>86197.83055555556</x:v>
      </x:c>
      <x:c r="F10" s="18" t="n">
        <x:v>0.7176544145229231</x:v>
      </x:c>
      <x:c r="G10" s="18" t="n">
        <x:v>0.6973222987106832</x:v>
      </x:c>
      <x:c r="H10" s="18" t="n">
        <x:v>0.7350912826614593</x:v>
      </x:c>
      <x:c r="I10" s="18" t="n">
        <x:v>80993.67499999999</x:v>
      </x:c>
      <x:c r="J10" s="18" t="n">
        <x:v>0.6743263494865144</x:v>
      </x:c>
      <x:c r="K10" s="18" t="n">
        <x:v>0.6563527729276766</x:v>
      </x:c>
      <x:c r="L10" s="18" t="n">
        <x:v>0.6903165616337826</x:v>
      </x:c>
      <x:c r="M10" s="18" t="n">
        <x:v>-0.0433280650364087</x:v>
      </x:c>
      <x:c r="N10" s="18" t="n">
        <x:v>-0.0479273523238283</x:v>
      </x:c>
      <x:c r="O10" s="18" t="n">
        <x:v>-0.0386602382571741</x:v>
      </x:c>
      <x:c r="P10" s="18" t="n">
        <x:v>0.7927954932565986</x:v>
      </x:c>
      <x:c r="Q10" s="18" t="n">
        <x:v>0.7500014028551494</x:v>
      </x:c>
      <x:c r="R10" s="18" t="n">
        <x:v>0.830774300307051</x:v>
      </x:c>
      <x:c r="S10" s="18" t="n">
        <x:v>0.9106789486144836</x:v>
      </x:c>
      <x:c r="T10" s="18" t="n">
        <x:v>0.865875484819952</x:v>
      </x:c>
      <x:c r="U10" s="18" t="n">
        <x:v>0.9486223012881402</x:v>
      </x:c>
      <x:c r="V10" s="18" t="n">
        <x:v>0.1391934268699875</x:v>
      </x:c>
      <x:c r="W10" s="18" t="n">
        <x:v>0.1323021017058718</x:v>
      </x:c>
      <x:c r="X10" s="18" t="n">
        <x:v>0.145622262465054</x:v>
      </x:c>
      <x:c r="Y10" s="18" t="n">
        <x:v>0.5651301749893298</x:v>
      </x:c>
    </x:row>
    <x:row r="11">
      <x:c r="A11" s="16" t="n">
        <x:v>60</x:v>
      </x:c>
      <x:c r="B11" s="18" t="n">
        <x:v>10</x:v>
      </x:c>
      <x:c r="C11" s="16" t="n">
        <x:v>2435</x:v>
      </x:c>
      <x:c r="D11" s="18" t="n">
        <x:v>120110.5</x:v>
      </x:c>
      <x:c r="E11" s="18" t="n">
        <x:v>97292.96805555554</x:v>
      </x:c>
      <x:c r="F11" s="18" t="n">
        <x:v>0.8100288322466024</x:v>
      </x:c>
      <x:c r="G11" s="18" t="n">
        <x:v>0.7919755019561424</x:v>
      </x:c>
      <x:c r="H11" s="18" t="n">
        <x:v>0.8275103927819595</x:v>
      </x:c>
      <x:c r="I11" s="18" t="n">
        <x:v>91793.69722222222</x:v>
      </x:c>
      <x:c r="J11" s="18" t="n">
        <x:v>0.7642437357451866</x:v>
      </x:c>
      <x:c r="K11" s="18" t="n">
        <x:v>0.747575376827715</x:v>
      </x:c>
      <x:c r="L11" s="18" t="n">
        <x:v>0.7808099529610638</x:v>
      </x:c>
      <x:c r="M11" s="18" t="n">
        <x:v>-0.0457850965014158</x:v>
      </x:c>
      <x:c r="N11" s="18" t="n">
        <x:v>-0.0510722196042375</x:v>
      </x:c>
      <x:c r="O11" s="18" t="n">
        <x:v>-0.0410204580917968</x:v>
      </x:c>
      <x:c r="P11" s="18" t="n">
        <x:v>0.9189871276587482</x:v>
      </x:c>
      <x:c r="Q11" s="18" t="n">
        <x:v>0.8704727243128831</x:v>
      </x:c>
      <x:c r="R11" s="18" t="n">
        <x:v>0.971462926583346</x:v>
      </x:c>
      <x:c r="S11" s="18" t="n">
        <x:v>1.0928895899071778</x:v>
      </x:c>
      <x:c r="T11" s="18" t="n">
        <x:v>1.0421880838972355</x:v>
      </x:c>
      <x:c r="U11" s="18" t="n">
        <x:v>1.1465855502766005</x:v>
      </x:c>
      <x:c r="V11" s="18" t="n">
        <x:v>0.2007989729052851</x:v>
      </x:c>
      <x:c r="W11" s="18" t="n">
        <x:v>0.1911634086638815</x:v>
      </x:c>
      <x:c r="X11" s="18" t="n">
        <x:v>0.2104571408180078</x:v>
      </x:c>
      <x:c r="Y11" s="18" t="n">
        <x:v>0.3737046521553563</x:v>
      </x:c>
    </x:row>
    <x:row r="12">
      <x:c r="A12" s="16" t="n">
        <x:v>65</x:v>
      </x:c>
      <x:c r="B12" s="18" t="n">
        <x:v>1</x:v>
      </x:c>
      <x:c r="C12" s="16" t="n">
        <x:v>2435</x:v>
      </x:c>
      <x:c r="D12" s="18" t="n">
        <x:v>262221.8333333333</x:v>
      </x:c>
      <x:c r="E12" s="18" t="n">
        <x:v>79485.68055555556</x:v>
      </x:c>
      <x:c r="F12" s="18" t="n">
        <x:v>0.3031238075988672</x:v>
      </x:c>
      <x:c r="G12" s="18" t="n">
        <x:v>0.2936000766997126</x:v>
      </x:c>
      <x:c r="H12" s="18" t="n">
        <x:v>0.3131568551298618</x:v>
      </x:c>
      <x:c r="I12" s="18" t="n">
        <x:v>74908.40277777778</x:v>
      </x:c>
      <x:c r="J12" s="18" t="n">
        <x:v>0.2856680613721249</x:v>
      </x:c>
      <x:c r="K12" s="18" t="n">
        <x:v>0.2767595390629442</x:v>
      </x:c>
      <x:c r="L12" s="18" t="n">
        <x:v>0.2949429558748526</x:v>
      </x:c>
      <x:c r="M12" s="18" t="n">
        <x:v>-0.0174557462267423</x:v>
      </x:c>
      <x:c r="N12" s="18" t="n">
        <x:v>-0.019027712514179</x:v>
      </x:c>
      <x:c r="O12" s="18" t="n">
        <x:v>-0.0159929465501042</x:v>
      </x:c>
      <x:c r="P12" s="18" t="n">
        <x:v>0.7129683940541043</x:v>
      </x:c>
      <x:c r="Q12" s="18" t="n">
        <x:v>0.6854098444743217</x:v>
      </x:c>
      <x:c r="R12" s="18" t="n">
        <x:v>0.73977125267547</x:v>
      </x:c>
      <x:c r="S12" s="18" t="n">
        <x:v>0.7605776746131494</x:v>
      </x:c>
      <x:c r="T12" s="18" t="n">
        <x:v>0.7328207365539844</x:v>
      </x:c>
      <x:c r="U12" s="18" t="n">
        <x:v>0.7877237185425093</x:v>
      </x:c>
      <x:c r="V12" s="18" t="n">
        <x:v>0.0613454929257787</x:v>
      </x:c>
      <x:c r="W12" s="18" t="n">
        <x:v>0.0594747134336016</x:v>
      </x:c>
      <x:c r="X12" s="18" t="n">
        <x:v>0.0634470023488429</x:v>
      </x:c>
      <x:c r="Y12" s="18" t="n">
        <x:v>1</x:v>
      </x:c>
    </x:row>
    <x:row r="13">
      <x:c r="A13" s="16" t="n">
        <x:v>65</x:v>
      </x:c>
      <x:c r="B13" s="18" t="n">
        <x:v>2.5</x:v>
      </x:c>
      <x:c r="C13" s="16" t="n">
        <x:v>2435</x:v>
      </x:c>
      <x:c r="D13" s="18" t="n">
        <x:v>262221.8333333333</x:v>
      </x:c>
      <x:c r="E13" s="18" t="n">
        <x:v>122980.5611111111</x:v>
      </x:c>
      <x:c r="F13" s="18" t="n">
        <x:v>0.4689943607967215</x:v>
      </x:c>
      <x:c r="G13" s="18" t="n">
        <x:v>0.4544730029985244</x:v>
      </x:c>
      <x:c r="H13" s="18" t="n">
        <x:v>0.4825862654172647</x:v>
      </x:c>
      <x:c r="I13" s="18" t="n">
        <x:v>117108.50555555554</x:v>
      </x:c>
      <x:c r="J13" s="18" t="n">
        <x:v>0.4466008953826838</x:v>
      </x:c>
      <x:c r="K13" s="18" t="n">
        <x:v>0.4332426473987431</x:v>
      </x:c>
      <x:c r="L13" s="18" t="n">
        <x:v>0.4595079889310925</x:v>
      </x:c>
      <x:c r="M13" s="18" t="n">
        <x:v>-0.0223934654140377</x:v>
      </x:c>
      <x:c r="N13" s="18" t="n">
        <x:v>-0.024583999578373</x:v>
      </x:c>
      <x:c r="O13" s="18" t="n">
        <x:v>-0.0204216065415385</x:v>
      </x:c>
      <x:c r="P13" s="18" t="n">
        <x:v>1.2196605904183662</x:v>
      </x:c>
      <x:c r="Q13" s="18" t="n">
        <x:v>1.1736645455284709</x:v>
      </x:c>
      <x:c r="R13" s="18" t="n">
        <x:v>1.2652288021576208</x:v>
      </x:c>
      <x:c r="S13" s="18" t="n">
        <x:v>1.3143394838003308</x:v>
      </x:c>
      <x:c r="T13" s="18" t="n">
        <x:v>1.2665019778862252</x:v>
      </x:c>
      <x:c r="U13" s="18" t="n">
        <x:v>1.3604599222563911</x:v>
      </x:c>
      <x:c r="V13" s="18" t="n">
        <x:v>0.1153370061040563</x:v>
      </x:c>
      <x:c r="W13" s="18" t="n">
        <x:v>0.1109054454424917</x:v>
      </x:c>
      <x:c r="X13" s="18" t="n">
        <x:v>0.119641378446695</x:v>
      </x:c>
      <x:c r="Y13" s="18" t="n">
        <x:v>0.8490765937375278</x:v>
      </x:c>
    </x:row>
    <x:row r="14">
      <x:c r="A14" s="16" t="n">
        <x:v>65</x:v>
      </x:c>
      <x:c r="B14" s="18" t="n">
        <x:v>3</x:v>
      </x:c>
      <x:c r="C14" s="16" t="n">
        <x:v>2435</x:v>
      </x:c>
      <x:c r="D14" s="18" t="n">
        <x:v>262221.8333333333</x:v>
      </x:c>
      <x:c r="E14" s="18" t="n">
        <x:v>131955.54166666666</x:v>
      </x:c>
      <x:c r="F14" s="18" t="n">
        <x:v>0.5032210323193276</x:v>
      </x:c>
      <x:c r="G14" s="18" t="n">
        <x:v>0.4882411564028137</x:v>
      </x:c>
      <x:c r="H14" s="18" t="n">
        <x:v>0.5169650799336916</x:v>
      </x:c>
      <x:c r="I14" s="18" t="n">
        <x:v>125818.06018518515</x:v>
      </x:c>
      <x:c r="J14" s="18" t="n">
        <x:v>0.4798153478899933</x:v>
      </x:c>
      <x:c r="K14" s="18" t="n">
        <x:v>0.4663756711824853</x:v>
      </x:c>
      <x:c r="L14" s="18" t="n">
        <x:v>0.4926571714549627</x:v>
      </x:c>
      <x:c r="M14" s="18" t="n">
        <x:v>-0.0234056844293342</x:v>
      </x:c>
      <x:c r="N14" s="18" t="n">
        <x:v>-0.0257136562613975</x:v>
      </x:c>
      <x:c r="O14" s="18" t="n">
        <x:v>-0.0212838494954672</x:v>
      </x:c>
      <x:c r="P14" s="18" t="n">
        <x:v>1.340954462034787</x:v>
      </x:c>
      <x:c r="Q14" s="18" t="n">
        <x:v>1.2903115642651874</x:v>
      </x:c>
      <x:c r="R14" s="18" t="n">
        <x:v>1.3916059754548966</x:v>
      </x:c>
      <x:c r="S14" s="18" t="n">
        <x:v>1.4468254198846082</x:v>
      </x:c>
      <x:c r="T14" s="18" t="n">
        <x:v>1.3941584443618569</x:v>
      </x:c>
      <x:c r="U14" s="18" t="n">
        <x:v>1.49843561821836</x:v>
      </x:c>
      <x:c r="V14" s="18" t="n">
        <x:v>0.1288164256141189</x:v>
      </x:c>
      <x:c r="W14" s="18" t="n">
        <x:v>0.1238399215620559</x:v>
      </x:c>
      <x:c r="X14" s="18" t="n">
        <x:v>0.1344794623811371</x:v>
      </x:c>
      <x:c r="Y14" s="18" t="n">
        <x:v>0.802450322315349</x:v>
      </x:c>
    </x:row>
    <x:row r="15">
      <x:c r="A15" s="16" t="n">
        <x:v>65</x:v>
      </x:c>
      <x:c r="B15" s="18" t="n">
        <x:v>5</x:v>
      </x:c>
      <x:c r="C15" s="16" t="n">
        <x:v>2435</x:v>
      </x:c>
      <x:c r="D15" s="18" t="n">
        <x:v>262221.8333333333</x:v>
      </x:c>
      <x:c r="E15" s="18" t="n">
        <x:v>156657.8111111111</x:v>
      </x:c>
      <x:c r="F15" s="18" t="n">
        <x:v>0.5974247419434733</x:v>
      </x:c>
      <x:c r="G15" s="18" t="n">
        <x:v>0.5814571937502134</x:v>
      </x:c>
      <x:c r="H15" s="18" t="n">
        <x:v>0.6126324766090073</x:v>
      </x:c>
      <x:c r="I15" s="18" t="n">
        <x:v>150251.06944444444</x:v>
      </x:c>
      <x:c r="J15" s="18" t="n">
        <x:v>0.5729922163020157</x:v>
      </x:c>
      <x:c r="K15" s="18" t="n">
        <x:v>0.5578223060919201</x:v>
      </x:c>
      <x:c r="L15" s="18" t="n">
        <x:v>0.586776748290535</x:v>
      </x:c>
      <x:c r="M15" s="18" t="n">
        <x:v>-0.0244325256414575</x:v>
      </x:c>
      <x:c r="N15" s="18" t="n">
        <x:v>-0.0271664308416516</x:v>
      </x:c>
      <x:c r="O15" s="18" t="n">
        <x:v>-0.021810710531806</x:v>
      </x:c>
      <x:c r="P15" s="18" t="n">
        <x:v>1.6919342974668123</x:v>
      </x:c>
      <x:c r="Q15" s="18" t="n">
        <x:v>1.6287432359169205</x:v>
      </x:c>
      <x:c r="R15" s="18" t="n">
        <x:v>1.756369495230963</x:v>
      </x:c>
      <x:c r="S15" s="18" t="n">
        <x:v>1.8402399392672424</x:v>
      </x:c>
      <x:c r="T15" s="18" t="n">
        <x:v>1.7744846191514387</x:v>
      </x:c>
      <x:c r="U15" s="18" t="n">
        <x:v>1.9068707805096576</x:v>
      </x:c>
      <x:c r="V15" s="18" t="n">
        <x:v>0.1762130226197301</x:v>
      </x:c>
      <x:c r="W15" s="18" t="n">
        <x:v>0.1691881818312058</x:v>
      </x:c>
      <x:c r="X15" s="18" t="n">
        <x:v>0.1834573211298584</x:v>
      </x:c>
      <x:c r="Y15" s="18" t="n">
        <x:v>0.657762780740902</x:v>
      </x:c>
    </x:row>
    <x:row r="16">
      <x:c r="A16" s="16" t="n">
        <x:v>65</x:v>
      </x:c>
      <x:c r="B16" s="18" t="n">
        <x:v>10</x:v>
      </x:c>
      <x:c r="C16" s="16" t="n">
        <x:v>2435</x:v>
      </x:c>
      <x:c r="D16" s="18" t="n">
        <x:v>262221.8333333333</x:v>
      </x:c>
      <x:c r="E16" s="18" t="n">
        <x:v>185640.6222222222</x:v>
      </x:c>
      <x:c r="F16" s="18" t="n">
        <x:v>0.7079525753533956</x:v>
      </x:c>
      <x:c r="G16" s="18" t="n">
        <x:v>0.6920016405090013</x:v>
      </x:c>
      <x:c r="H16" s="18" t="n">
        <x:v>0.7225371806382715</x:v>
      </x:c>
      <x:c r="I16" s="18" t="n">
        <x:v>178451.375</x:v>
      </x:c>
      <x:c r="J16" s="18" t="n">
        <x:v>0.6805359139303809</x:v>
      </x:c>
      <x:c r="K16" s="18" t="n">
        <x:v>0.6657157621371649</x:v>
      </x:c>
      <x:c r="L16" s="18" t="n">
        <x:v>0.6943394779252858</x:v>
      </x:c>
      <x:c r="M16" s="18" t="n">
        <x:v>-0.0274166614230147</x:v>
      </x:c>
      <x:c r="N16" s="18" t="n">
        <x:v>-0.0305983536644552</x:v>
      </x:c>
      <x:c r="O16" s="18" t="n">
        <x:v>-0.0243043761397579</x:v>
      </x:c>
      <x:c r="P16" s="18" t="n">
        <x:v>2.110656913140823</x:v>
      </x:c>
      <x:c r="Q16" s="18" t="n">
        <x:v>2.0282664578545915</x:v>
      </x:c>
      <x:c r="R16" s="18" t="n">
        <x:v>2.1987991955099413</x:v>
      </x:c>
      <x:c r="S16" s="18" t="n">
        <x:v>2.3533586693335535</x:v>
      </x:c>
      <x:c r="T16" s="18" t="n">
        <x:v>2.2649599077649065</x:v>
      </x:c>
      <x:c r="U16" s="18" t="n">
        <x:v>2.4392757542118293</x:v>
      </x:c>
      <x:c r="V16" s="18" t="n">
        <x:v>0.2845898683423599</x:v>
      </x:c>
      <x:c r="W16" s="18" t="n">
        <x:v>0.2721937204426664</x:v>
      </x:c>
      <x:c r="X16" s="18" t="n">
        <x:v>0.2967975502681444</x:v>
      </x:c>
      <x:c r="Y16" s="18" t="n">
        <x:v>0.4728130329088205</x:v>
      </x:c>
    </x:row>
  </x:sheetData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20" hidden="0" customWidth="1"/>
    <x:col min="5" max="5" width="21" hidden="0" customWidth="1"/>
    <x:col min="6" max="6" width="20" hidden="0" customWidth="1"/>
    <x:col min="7" max="7" width="23" hidden="0" customWidth="1"/>
    <x:col min="8" max="8" width="34" hidden="0" customWidth="1"/>
    <x:col min="9" max="9" width="32" hidden="0" customWidth="1"/>
    <x:col min="10" max="10" width="30" hidden="0" customWidth="1"/>
    <x:col min="11" max="11" width="21" hidden="0" customWidth="1"/>
    <x:col min="12" max="12" width="22" hidden="0" customWidth="1"/>
    <x:col min="13" max="13" width="22" hidden="0" customWidth="1"/>
    <x:col min="14" max="14" width="27" hidden="0" customWidth="1"/>
    <x:col min="15" max="15" width="30" hidden="0" customWidth="1"/>
    <x:col min="16" max="16" width="21" hidden="0" customWidth="1"/>
    <x:col min="17" max="17" width="21" hidden="0" customWidth="1"/>
    <x:col min="18" max="18" width="30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hidden_auc_display_unavailable_total</x:v>
      </x:c>
      <x:c r="I1" s="14" t="str">
        <x:v>hidden_auc_display_valid_total</x:v>
      </x:c>
      <x:c r="J1" s="14" t="str">
        <x:v>true_auc_display_valid_total</x:v>
      </x:c>
      <x:c r="K1" s="14" t="str">
        <x:v>HDR</x:v>
      </x:c>
      <x:c r="L1" s="14" t="str">
        <x:v>ODR</x:v>
      </x:c>
      <x:c r="M1" s="14" t="str">
        <x:v>NetBias</x:v>
      </x:c>
      <x:c r="N1" s="14" t="str">
        <x:v>HDR_unavailable_component</x:v>
      </x:c>
      <x:c r="O1" s="14" t="str">
        <x:v>HDR_valid_mismatch_component</x:v>
      </x:c>
      <x:c r="P1" s="14" t="str">
        <x:v>HDR_display_valid</x:v>
      </x:c>
      <x:c r="Q1" s="14" t="str">
        <x:v>ODR_display_valid</x:v>
      </x:c>
      <x:c r="R1" s="14" t="str">
        <x:v>display_unavailable_fraction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8" t="n">
        <x:v>10446.666666666666</x:v>
      </x:c>
      <x:c r="E2" s="18" t="n">
        <x:v>3173</x:v>
      </x:c>
      <x:c r="F2" s="18" t="n">
        <x:v>10241.916666666666</x:v>
      </x:c>
      <x:c r="G2" s="18" t="n">
        <x:v>2968.25</x:v>
      </x:c>
      <x:c r="H2" s="18" t="n">
        <x:v>3803</x:v>
      </x:c>
      <x:c r="I2" s="18" t="n">
        <x:v>6438.916666666666</x:v>
      </x:c>
      <x:c r="J2" s="18" t="n">
        <x:v>6643.666666666666</x:v>
      </x:c>
      <x:c r="K2" s="18" t="n">
        <x:v>0.9804004467134653</x:v>
      </x:c>
      <x:c r="L2" s="18" t="n">
        <x:v>0.2841336949585195</x:v>
      </x:c>
      <x:c r="M2" s="18" t="n">
        <x:v>-0.6962667517549458</x:v>
      </x:c>
      <x:c r="N2" s="18" t="n">
        <x:v>0.36403956604977666</x:v>
      </x:c>
      <x:c r="O2" s="18" t="n">
        <x:v>0.6163608806636885</x:v>
      </x:c>
      <x:c r="P2" s="18" t="n">
        <x:v>0.9691811750539361</x:v>
      </x:c>
      <x:c r="Q2" s="18" t="n">
        <x:v>0.44677888716070446</x:v>
      </x:c>
      <x:c r="R2" s="18" t="n">
        <x:v>0.6047823918194288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8" t="n">
        <x:v>10446.666666666666</x:v>
      </x:c>
      <x:c r="E3" s="18" t="n">
        <x:v>4780.605216666663</x:v>
      </x:c>
      <x:c r="F3" s="18" t="n">
        <x:v>8365.414</x:v>
      </x:c>
      <x:c r="G3" s="18" t="n">
        <x:v>2699.3525499999964</x:v>
      </x:c>
      <x:c r="H3" s="18" t="n">
        <x:v>3803</x:v>
      </x:c>
      <x:c r="I3" s="18" t="n">
        <x:v>4562.414</x:v>
      </x:c>
      <x:c r="J3" s="18" t="n">
        <x:v>6643.666666666666</x:v>
      </x:c>
      <x:c r="K3" s="18" t="n">
        <x:v>0.8007735162731335</x:v>
      </x:c>
      <x:c r="L3" s="18" t="n">
        <x:v>0.25839367102744065</x:v>
      </x:c>
      <x:c r="M3" s="18" t="n">
        <x:v>-0.5423798452456927</x:v>
      </x:c>
      <x:c r="N3" s="18" t="n">
        <x:v>0.36403956604977666</x:v>
      </x:c>
      <x:c r="O3" s="18" t="n">
        <x:v>0.43673395022335676</x:v>
      </x:c>
      <x:c r="P3" s="18" t="n">
        <x:v>0.6867313230645729</x:v>
      </x:c>
      <x:c r="Q3" s="18" t="n">
        <x:v>0.40630463348552454</x:v>
      </x:c>
      <x:c r="R3" s="18" t="n">
        <x:v>0.6047823918194288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8" t="n">
        <x:v>10446.666666666666</x:v>
      </x:c>
      <x:c r="E4" s="18" t="n">
        <x:v>11874.333333333332</x:v>
      </x:c>
      <x:c r="F4" s="18" t="n">
        <x:v>8066.083333333333</x:v>
      </x:c>
      <x:c r="G4" s="18" t="n">
        <x:v>9493.75</x:v>
      </x:c>
      <x:c r="H4" s="18" t="n">
        <x:v>3216.083333333333</x:v>
      </x:c>
      <x:c r="I4" s="18" t="n">
        <x:v>4850</x:v>
      </x:c>
      <x:c r="J4" s="18" t="n">
        <x:v>7230.583333333334</x:v>
      </x:c>
      <x:c r="K4" s="18" t="n">
        <x:v>0.7721202935545629</x:v>
      </x:c>
      <x:c r="L4" s="18" t="n">
        <x:v>0.908782705807275</x:v>
      </x:c>
      <x:c r="M4" s="18" t="n">
        <x:v>0.13666241225271214</x:v>
      </x:c>
      <x:c r="N4" s="18" t="n">
        <x:v>0.3078573707721761</x:v>
      </x:c>
      <x:c r="O4" s="18" t="n">
        <x:v>0.46426292278238673</x:v>
      </x:c>
      <x:c r="P4" s="18" t="n">
        <x:v>0.670761925616882</x:v>
      </x:c>
      <x:c r="Q4" s="18" t="n">
        <x:v>1.3129991817165512</x:v>
      </x:c>
      <x:c r="R4" s="18" t="n">
        <x:v>0.011294010059442158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8" t="n">
        <x:v>19401.25</x:v>
      </x:c>
      <x:c r="E5" s="18" t="n">
        <x:v>8943.333333333332</x:v>
      </x:c>
      <x:c r="F5" s="18" t="n">
        <x:v>18642.916666666668</x:v>
      </x:c>
      <x:c r="G5" s="18" t="n">
        <x:v>8185</x:v>
      </x:c>
      <x:c r="H5" s="18" t="n">
        <x:v>8262.333333333334</x:v>
      </x:c>
      <x:c r="I5" s="18" t="n">
        <x:v>10380.583333333334</x:v>
      </x:c>
      <x:c r="J5" s="18" t="n">
        <x:v>11138.916666666668</x:v>
      </x:c>
      <x:c r="K5" s="18" t="n">
        <x:v>0.9609131714021864</x:v>
      </x:c>
      <x:c r="L5" s="18" t="n">
        <x:v>0.42188003350299597</x:v>
      </x:c>
      <x:c r="M5" s="18" t="n">
        <x:v>-0.5390331378991904</x:v>
      </x:c>
      <x:c r="N5" s="18" t="n">
        <x:v>0.425866030968795</x:v>
      </x:c>
      <x:c r="O5" s="18" t="n">
        <x:v>0.5350471404333913</x:v>
      </x:c>
      <x:c r="P5" s="18" t="n">
        <x:v>0.9319203692758871</x:v>
      </x:c>
      <x:c r="Q5" s="18" t="n">
        <x:v>0.7348111351343263</x:v>
      </x:c>
      <x:c r="R5" s="18" t="n">
        <x:v>0.6047823918194288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8" t="n">
        <x:v>19401.25</x:v>
      </x:c>
      <x:c r="E6" s="18" t="n">
        <x:v>8763.48356666666</x:v>
      </x:c>
      <x:c r="F6" s="18" t="n">
        <x:v>15274.9817</x:v>
      </x:c>
      <x:c r="G6" s="18" t="n">
        <x:v>4637.215266666659</x:v>
      </x:c>
      <x:c r="H6" s="18" t="n">
        <x:v>8262.333333333334</x:v>
      </x:c>
      <x:c r="I6" s="18" t="n">
        <x:v>7012.648366666666</x:v>
      </x:c>
      <x:c r="J6" s="18" t="n">
        <x:v>11138.916666666668</x:v>
      </x:c>
      <x:c r="K6" s="18" t="n">
        <x:v>0.7873194613749114</x:v>
      </x:c>
      <x:c r="L6" s="18" t="n">
        <x:v>0.2390163142409205</x:v>
      </x:c>
      <x:c r="M6" s="18" t="n">
        <x:v>-0.5483031471339909</x:v>
      </x:c>
      <x:c r="N6" s="18" t="n">
        <x:v>0.425866030968795</x:v>
      </x:c>
      <x:c r="O6" s="18" t="n">
        <x:v>0.36145343040611644</x:v>
      </x:c>
      <x:c r="P6" s="18" t="n">
        <x:v>0.6295628719130375</x:v>
      </x:c>
      <x:c r="Q6" s="18" t="n">
        <x:v>0.41630756432028776</x:v>
      </x:c>
      <x:c r="R6" s="18" t="n">
        <x:v>0.6047823918194288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8" t="n">
        <x:v>19401.25</x:v>
      </x:c>
      <x:c r="E7" s="18" t="n">
        <x:v>21193.166666666664</x:v>
      </x:c>
      <x:c r="F7" s="18" t="n">
        <x:v>13506.083333333332</x:v>
      </x:c>
      <x:c r="G7" s="18" t="n">
        <x:v>15298</x:v>
      </x:c>
      <x:c r="H7" s="18" t="n">
        <x:v>4103.75</x:v>
      </x:c>
      <x:c r="I7" s="18" t="n">
        <x:v>9402.333333333332</x:v>
      </x:c>
      <x:c r="J7" s="18" t="n">
        <x:v>15297.499999999998</x:v>
      </x:c>
      <x:c r="K7" s="18" t="n">
        <x:v>0.6961450078388419</x:v>
      </x:c>
      <x:c r="L7" s="18" t="n">
        <x:v>0.7885058952387088</x:v>
      </x:c>
      <x:c r="M7" s="18" t="n">
        <x:v>0.09236088739986673</x:v>
      </x:c>
      <x:c r="N7" s="18" t="n">
        <x:v>0.21151987629663038</x:v>
      </x:c>
      <x:c r="O7" s="18" t="n">
        <x:v>0.48462513154221154</x:v>
      </x:c>
      <x:c r="P7" s="18" t="n">
        <x:v>0.6146320204826496</x:v>
      </x:c>
      <x:c r="Q7" s="18" t="n">
        <x:v>1.0000326850792614</x:v>
      </x:c>
      <x:c r="R7" s="18" t="n">
        <x:v>0.011294010059442158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8" t="n">
        <x:v>41564.58333333333</x:v>
      </x:c>
      <x:c r="E8" s="18" t="n">
        <x:v>23991.833333333336</x:v>
      </x:c>
      <x:c r="F8" s="18" t="n">
        <x:v>38486.75</x:v>
      </x:c>
      <x:c r="G8" s="18" t="n">
        <x:v>20914</x:v>
      </x:c>
      <x:c r="H8" s="18" t="n">
        <x:v>20011.916666666664</x:v>
      </x:c>
      <x:c r="I8" s="18" t="n">
        <x:v>18474.833333333336</x:v>
      </x:c>
      <x:c r="J8" s="18" t="n">
        <x:v>21552.666666666664</x:v>
      </x:c>
      <x:c r="K8" s="18" t="n">
        <x:v>0.9259505789183501</x:v>
      </x:c>
      <x:c r="L8" s="18" t="n">
        <x:v>0.5031687634705028</x:v>
      </x:c>
      <x:c r="M8" s="18" t="n">
        <x:v>-0.4227818154478471</x:v>
      </x:c>
      <x:c r="N8" s="18" t="n">
        <x:v>0.4814655906972082</x:v>
      </x:c>
      <x:c r="O8" s="18" t="n">
        <x:v>0.4444849882211419</x:v>
      </x:c>
      <x:c r="P8" s="18" t="n">
        <x:v>0.8571947786816791</x:v>
      </x:c>
      <x:c r="Q8" s="18" t="n">
        <x:v>0.970367162609422</x:v>
      </x:c>
      <x:c r="R8" s="18" t="n">
        <x:v>0.6047823918194288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8" t="n">
        <x:v>41564.58333333333</x:v>
      </x:c>
      <x:c r="E9" s="18" t="n">
        <x:v>18772.83174999999</x:v>
      </x:c>
      <x:c r="F9" s="18" t="n">
        <x:v>31575.39335</x:v>
      </x:c>
      <x:c r="G9" s="18" t="n">
        <x:v>8783.641766666657</x:v>
      </x:c>
      <x:c r="H9" s="18" t="n">
        <x:v>20011.916666666664</x:v>
      </x:c>
      <x:c r="I9" s="18" t="n">
        <x:v>11563.47668333333</x:v>
      </x:c>
      <x:c r="J9" s="18" t="n">
        <x:v>21552.666666666664</x:v>
      </x:c>
      <x:c r="K9" s="18" t="n">
        <x:v>0.7596706334519574</x:v>
      </x:c>
      <x:c r="L9" s="18" t="n">
        <x:v>0.21132514901508676</x:v>
      </x:c>
      <x:c r="M9" s="18" t="n">
        <x:v>-0.5483454844368705</x:v>
      </x:c>
      <x:c r="N9" s="18" t="n">
        <x:v>0.4814655906972082</x:v>
      </x:c>
      <x:c r="O9" s="18" t="n">
        <x:v>0.2782050427547491</x:v>
      </x:c>
      <x:c r="P9" s="18" t="n">
        <x:v>0.5365218542175755</x:v>
      </x:c>
      <x:c r="Q9" s="18" t="n">
        <x:v>0.4075431547526984</x:v>
      </x:c>
      <x:c r="R9" s="18" t="n">
        <x:v>0.6047823918194288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8" t="n">
        <x:v>41564.58333333333</x:v>
      </x:c>
      <x:c r="E10" s="18" t="n">
        <x:v>43529.666666666664</x:v>
      </x:c>
      <x:c r="F10" s="18" t="n">
        <x:v>24171.5</x:v>
      </x:c>
      <x:c r="G10" s="18" t="n">
        <x:v>26136.583333333332</x:v>
      </x:c>
      <x:c r="H10" s="18" t="n">
        <x:v>5226.166666666666</x:v>
      </x:c>
      <x:c r="I10" s="18" t="n">
        <x:v>18945.333333333332</x:v>
      </x:c>
      <x:c r="J10" s="18" t="n">
        <x:v>36338.416666666664</x:v>
      </x:c>
      <x:c r="K10" s="18" t="n">
        <x:v>0.5815407748985014</x:v>
      </x:c>
      <x:c r="L10" s="18" t="n">
        <x:v>0.6288186055836801</x:v>
      </x:c>
      <x:c r="M10" s="18" t="n">
        <x:v>0.047277830685178754</x:v>
      </x:c>
      <x:c r="N10" s="18" t="n">
        <x:v>0.12573605333066012</x:v>
      </x:c>
      <x:c r="O10" s="18" t="n">
        <x:v>0.45580472156784124</x:v>
      </x:c>
      <x:c r="P10" s="18" t="n">
        <x:v>0.5213582503365355</x:v>
      </x:c>
      <x:c r="Q10" s="18" t="n">
        <x:v>0.719254874891357</x:v>
      </x:c>
      <x:c r="R10" s="18" t="n">
        <x:v>0.011294010059442158</x:v>
      </x:c>
    </x:row>
    <x:row r="11">
      <x:c r="A11" s="16" t="n">
        <x:v>55</x:v>
      </x:c>
      <x:c r="B11" s="8" t="str">
        <x:v>cuff_level_increment_actual_minus_timing</x:v>
      </x:c>
      <x:c r="C11" s="16" t="n">
        <x:v>365</x:v>
      </x:c>
      <x:c r="D11" s="18" t="n">
        <x:v>10446.666666666666</x:v>
      </x:c>
      <x:c r="E11" s="18" t="n">
        <x:v>-1607.6052166666632</x:v>
      </x:c>
      <x:c r="F11" s="18" t="n">
        <x:v>1876.5026666666654</x:v>
      </x:c>
      <x:c r="G11" s="18" t="n">
        <x:v>268.8974500000036</x:v>
      </x:c>
      <x:c r="H11" s="18" t="n">
        <x:v>0</x:v>
      </x:c>
      <x:c r="I11" s="18" t="n">
        <x:v>1876.5026666666663</x:v>
      </x:c>
      <x:c r="J11" s="18" t="n">
        <x:v>0</x:v>
      </x:c>
      <x:c r="K11" s="18" t="n">
        <x:v>0.17962693044033173</x:v>
      </x:c>
      <x:c r="L11" s="18" t="n">
        <x:v>0.025740023931078826</x:v>
      </x:c>
      <x:c r="M11" s="18" t="n">
        <x:v>-0.15388690650925307</x:v>
      </x:c>
      <x:c r="N11" s="18" t="n">
        <x:v>0</x:v>
      </x:c>
      <x:c r="O11" s="18" t="n">
        <x:v>0.1796269304403318</x:v>
      </x:c>
      <x:c r="P11" s="18" t="n">
        <x:v>0.28244985198936323</x:v>
      </x:c>
      <x:c r="Q11" s="18" t="n">
        <x:v>0.04047425367517993</x:v>
      </x:c>
      <x:c r="R11" s="18" t="n">
        <x:v>0</x:v>
      </x:c>
    </x:row>
    <x:row r="12">
      <x:c r="A12" s="16" t="n">
        <x:v>60</x:v>
      </x:c>
      <x:c r="B12" s="8" t="str">
        <x:v>cuff_level_increment_actual_minus_timing</x:v>
      </x:c>
      <x:c r="C12" s="16" t="n">
        <x:v>365</x:v>
      </x:c>
      <x:c r="D12" s="18" t="n">
        <x:v>19401.25</x:v>
      </x:c>
      <x:c r="E12" s="18" t="n">
        <x:v>179.8497666666717</x:v>
      </x:c>
      <x:c r="F12" s="18" t="n">
        <x:v>3367.9349666666676</x:v>
      </x:c>
      <x:c r="G12" s="18" t="n">
        <x:v>3547.784733333341</x:v>
      </x:c>
      <x:c r="H12" s="18" t="n">
        <x:v>0</x:v>
      </x:c>
      <x:c r="I12" s="18" t="n">
        <x:v>3367.9349666666676</x:v>
      </x:c>
      <x:c r="J12" s="18" t="n">
        <x:v>0</x:v>
      </x:c>
      <x:c r="K12" s="18" t="n">
        <x:v>0.17359371002727497</x:v>
      </x:c>
      <x:c r="L12" s="18" t="n">
        <x:v>0.18286371926207545</x:v>
      </x:c>
      <x:c r="M12" s="18" t="n">
        <x:v>0.00927000923480048</x:v>
      </x:c>
      <x:c r="N12" s="18" t="n">
        <x:v>0</x:v>
      </x:c>
      <x:c r="O12" s="18" t="n">
        <x:v>0.17359371002727486</x:v>
      </x:c>
      <x:c r="P12" s="18" t="n">
        <x:v>0.30235749736284956</x:v>
      </x:c>
      <x:c r="Q12" s="18" t="n">
        <x:v>0.3185035708140385</x:v>
      </x:c>
      <x:c r="R12" s="18" t="n">
        <x:v>0</x:v>
      </x:c>
    </x:row>
    <x:row r="13">
      <x:c r="A13" s="16" t="n">
        <x:v>65</x:v>
      </x:c>
      <x:c r="B13" s="8" t="str">
        <x:v>cuff_level_increment_actual_minus_timing</x:v>
      </x:c>
      <x:c r="C13" s="16" t="n">
        <x:v>365</x:v>
      </x:c>
      <x:c r="D13" s="18" t="n">
        <x:v>41564.58333333333</x:v>
      </x:c>
      <x:c r="E13" s="18" t="n">
        <x:v>5219.0015833333455</x:v>
      </x:c>
      <x:c r="F13" s="18" t="n">
        <x:v>6911.3566500000015</x:v>
      </x:c>
      <x:c r="G13" s="18" t="n">
        <x:v>12130.358233333343</x:v>
      </x:c>
      <x:c r="H13" s="18" t="n">
        <x:v>0</x:v>
      </x:c>
      <x:c r="I13" s="18" t="n">
        <x:v>6911.356650000005</x:v>
      </x:c>
      <x:c r="J13" s="18" t="n">
        <x:v>0</x:v>
      </x:c>
      <x:c r="K13" s="18" t="n">
        <x:v>0.1662799454663927</x:v>
      </x:c>
      <x:c r="L13" s="18" t="n">
        <x:v>0.291843614455416</x:v>
      </x:c>
      <x:c r="M13" s="18" t="n">
        <x:v>0.12556366898902338</x:v>
      </x:c>
      <x:c r="N13" s="18" t="n">
        <x:v>0</x:v>
      </x:c>
      <x:c r="O13" s="18" t="n">
        <x:v>0.1662799454663928</x:v>
      </x:c>
      <x:c r="P13" s="18" t="n">
        <x:v>0.32067292446410367</x:v>
      </x:c>
      <x:c r="Q13" s="18" t="n">
        <x:v>0.5628240078567236</x:v>
      </x:c>
      <x:c r="R13" s="18" t="n">
        <x:v>0</x:v>
      </x:c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20" hidden="0" customWidth="1"/>
    <x:col min="5" max="5" width="21" hidden="0" customWidth="1"/>
    <x:col min="6" max="6" width="20" hidden="0" customWidth="1"/>
    <x:col min="7" max="7" width="23" hidden="0" customWidth="1"/>
    <x:col min="8" max="8" width="34" hidden="0" customWidth="1"/>
    <x:col min="9" max="9" width="32" hidden="0" customWidth="1"/>
    <x:col min="10" max="10" width="30" hidden="0" customWidth="1"/>
    <x:col min="11" max="11" width="20" hidden="0" customWidth="1"/>
    <x:col min="12" max="12" width="20" hidden="0" customWidth="1"/>
    <x:col min="13" max="13" width="21" hidden="0" customWidth="1"/>
    <x:col min="14" max="14" width="27" hidden="0" customWidth="1"/>
    <x:col min="15" max="15" width="30" hidden="0" customWidth="1"/>
    <x:col min="16" max="16" width="20" hidden="0" customWidth="1"/>
    <x:col min="17" max="17" width="20" hidden="0" customWidth="1"/>
    <x:col min="18" max="18" width="30" hidden="0" customWidth="1"/>
  </x:cols>
  <x:sheetData>
    <x:row r="1" ht="32" customHeight="1">
      <x:c r="A1" s="14" t="str">
        <x:v>threshold</x:v>
      </x:c>
      <x:c r="B1" s="14" t="str">
        <x:v>mechanism</x:v>
      </x:c>
      <x:c r="C1" s="14" t="str">
        <x:v>n_cases</x:v>
      </x:c>
      <x:c r="D1" s="14" t="str">
        <x:v>true_auc_total</x:v>
      </x:c>
      <x:c r="E1" s="14" t="str">
        <x:v>display_auc_total</x:v>
      </x:c>
      <x:c r="F1" s="14" t="str">
        <x:v>hidden_auc_total</x:v>
      </x:c>
      <x:c r="G1" s="14" t="str">
        <x:v>overdisplay_auc_total</x:v>
      </x:c>
      <x:c r="H1" s="14" t="str">
        <x:v>hidden_auc_display_unavailable_total</x:v>
      </x:c>
      <x:c r="I1" s="14" t="str">
        <x:v>hidden_auc_display_valid_total</x:v>
      </x:c>
      <x:c r="J1" s="14" t="str">
        <x:v>true_auc_display_valid_total</x:v>
      </x:c>
      <x:c r="K1" s="14" t="str">
        <x:v>HDR</x:v>
      </x:c>
      <x:c r="L1" s="14" t="str">
        <x:v>ODR</x:v>
      </x:c>
      <x:c r="M1" s="14" t="str">
        <x:v>NetBias</x:v>
      </x:c>
      <x:c r="N1" s="14" t="str">
        <x:v>HDR_unavailable_component</x:v>
      </x:c>
      <x:c r="O1" s="14" t="str">
        <x:v>HDR_valid_mismatch_component</x:v>
      </x:c>
      <x:c r="P1" s="14" t="str">
        <x:v>HDR_display_valid</x:v>
      </x:c>
      <x:c r="Q1" s="14" t="str">
        <x:v>ODR_display_valid</x:v>
      </x:c>
      <x:c r="R1" s="14" t="str">
        <x:v>display_unavailable_fraction</x:v>
      </x:c>
    </x:row>
    <x:row r="2">
      <x:c r="A2" s="16" t="n">
        <x:v>55</x:v>
      </x:c>
      <x:c r="B2" s="8" t="str">
        <x:v>actual_nibp_timing_plus_cuff</x:v>
      </x:c>
      <x:c r="C2" s="16" t="n">
        <x:v>365</x:v>
      </x:c>
      <x:c r="D2" s="18" t="n">
        <x:v>10446.666666666666</x:v>
      </x:c>
      <x:c r="E2" s="18" t="n">
        <x:v>3173</x:v>
      </x:c>
      <x:c r="F2" s="18" t="n">
        <x:v>10241.916666666666</x:v>
      </x:c>
      <x:c r="G2" s="18" t="n">
        <x:v>2968.25</x:v>
      </x:c>
      <x:c r="H2" s="18" t="n">
        <x:v>3803</x:v>
      </x:c>
      <x:c r="I2" s="18" t="n">
        <x:v>6438.916666666666</x:v>
      </x:c>
      <x:c r="J2" s="18" t="n">
        <x:v>6643.666666666666</x:v>
      </x:c>
      <x:c r="K2" s="18" t="n">
        <x:v>0.9804004467134652</x:v>
      </x:c>
      <x:c r="L2" s="18" t="n">
        <x:v>0.2841336949585195</x:v>
      </x:c>
      <x:c r="M2" s="18" t="n">
        <x:v>-0.6962667517549458</x:v>
      </x:c>
      <x:c r="N2" s="18" t="n">
        <x:v>0.3640395660497766</x:v>
      </x:c>
      <x:c r="O2" s="18" t="n">
        <x:v>0.6163608806636885</x:v>
      </x:c>
      <x:c r="P2" s="18" t="n">
        <x:v>0.969181175053936</x:v>
      </x:c>
      <x:c r="Q2" s="18" t="n">
        <x:v>0.4467788871607044</x:v>
      </x:c>
      <x:c r="R2" s="18" t="n">
        <x:v>0.6047823918194288</x:v>
      </x:c>
    </x:row>
    <x:row r="3">
      <x:c r="A3" s="16" t="n">
        <x:v>55</x:v>
      </x:c>
      <x:c r="B3" s="8" t="str">
        <x:v>actual_timing_only</x:v>
      </x:c>
      <x:c r="C3" s="16" t="n">
        <x:v>365</x:v>
      </x:c>
      <x:c r="D3" s="18" t="n">
        <x:v>10446.666666666666</x:v>
      </x:c>
      <x:c r="E3" s="18" t="n">
        <x:v>4780.605216666663</x:v>
      </x:c>
      <x:c r="F3" s="18" t="n">
        <x:v>8365.414</x:v>
      </x:c>
      <x:c r="G3" s="18" t="n">
        <x:v>2699.3525499999964</x:v>
      </x:c>
      <x:c r="H3" s="18" t="n">
        <x:v>3803</x:v>
      </x:c>
      <x:c r="I3" s="18" t="n">
        <x:v>4562.414</x:v>
      </x:c>
      <x:c r="J3" s="18" t="n">
        <x:v>6643.666666666666</x:v>
      </x:c>
      <x:c r="K3" s="18" t="n">
        <x:v>0.8007735162731335</x:v>
      </x:c>
      <x:c r="L3" s="18" t="n">
        <x:v>0.2583936710274406</x:v>
      </x:c>
      <x:c r="M3" s="18" t="n">
        <x:v>-0.5423798452456927</x:v>
      </x:c>
      <x:c r="N3" s="18" t="n">
        <x:v>0.3640395660497766</x:v>
      </x:c>
      <x:c r="O3" s="18" t="n">
        <x:v>0.4367339502233567</x:v>
      </x:c>
      <x:c r="P3" s="18" t="n">
        <x:v>0.6867313230645729</x:v>
      </x:c>
      <x:c r="Q3" s="18" t="n">
        <x:v>0.4063046334855245</x:v>
      </x:c>
      <x:c r="R3" s="18" t="n">
        <x:v>0.6047823918194288</x:v>
      </x:c>
    </x:row>
    <x:row r="4">
      <x:c r="A4" s="16" t="n">
        <x:v>55</x:v>
      </x:c>
      <x:c r="B4" s="8" t="str">
        <x:v>fixed_5min_frequency_only</x:v>
      </x:c>
      <x:c r="C4" s="16" t="n">
        <x:v>365</x:v>
      </x:c>
      <x:c r="D4" s="18" t="n">
        <x:v>10446.666666666666</x:v>
      </x:c>
      <x:c r="E4" s="18" t="n">
        <x:v>11874.333333333332</x:v>
      </x:c>
      <x:c r="F4" s="18" t="n">
        <x:v>8066.083333333333</x:v>
      </x:c>
      <x:c r="G4" s="18" t="n">
        <x:v>9493.75</x:v>
      </x:c>
      <x:c r="H4" s="18" t="n">
        <x:v>3216.083333333333</x:v>
      </x:c>
      <x:c r="I4" s="18" t="n">
        <x:v>4850</x:v>
      </x:c>
      <x:c r="J4" s="18" t="n">
        <x:v>7230.583333333334</x:v>
      </x:c>
      <x:c r="K4" s="18" t="n">
        <x:v>0.7721202935545629</x:v>
      </x:c>
      <x:c r="L4" s="18" t="n">
        <x:v>0.908782705807275</x:v>
      </x:c>
      <x:c r="M4" s="18" t="n">
        <x:v>0.1366624122527121</x:v>
      </x:c>
      <x:c r="N4" s="18" t="n">
        <x:v>0.3078573707721761</x:v>
      </x:c>
      <x:c r="O4" s="18" t="n">
        <x:v>0.4642629227823867</x:v>
      </x:c>
      <x:c r="P4" s="18" t="n">
        <x:v>0.670761925616882</x:v>
      </x:c>
      <x:c r="Q4" s="18" t="n">
        <x:v>1.3129991817165512</x:v>
      </x:c>
      <x:c r="R4" s="18" t="n">
        <x:v>0.0112940100594421</x:v>
      </x:c>
    </x:row>
    <x:row r="5">
      <x:c r="A5" s="16" t="n">
        <x:v>60</x:v>
      </x:c>
      <x:c r="B5" s="8" t="str">
        <x:v>actual_nibp_timing_plus_cuff</x:v>
      </x:c>
      <x:c r="C5" s="16" t="n">
        <x:v>365</x:v>
      </x:c>
      <x:c r="D5" s="18" t="n">
        <x:v>19401.25</x:v>
      </x:c>
      <x:c r="E5" s="18" t="n">
        <x:v>8943.333333333332</x:v>
      </x:c>
      <x:c r="F5" s="18" t="n">
        <x:v>18642.916666666668</x:v>
      </x:c>
      <x:c r="G5" s="18" t="n">
        <x:v>8185</x:v>
      </x:c>
      <x:c r="H5" s="18" t="n">
        <x:v>8262.333333333334</x:v>
      </x:c>
      <x:c r="I5" s="18" t="n">
        <x:v>10380.583333333334</x:v>
      </x:c>
      <x:c r="J5" s="18" t="n">
        <x:v>11138.916666666668</x:v>
      </x:c>
      <x:c r="K5" s="18" t="n">
        <x:v>0.9609131714021864</x:v>
      </x:c>
      <x:c r="L5" s="18" t="n">
        <x:v>0.4218800335029959</x:v>
      </x:c>
      <x:c r="M5" s="18" t="n">
        <x:v>-0.5390331378991904</x:v>
      </x:c>
      <x:c r="N5" s="18" t="n">
        <x:v>0.425866030968795</x:v>
      </x:c>
      <x:c r="O5" s="18" t="n">
        <x:v>0.5350471404333913</x:v>
      </x:c>
      <x:c r="P5" s="18" t="n">
        <x:v>0.9319203692758872</x:v>
      </x:c>
      <x:c r="Q5" s="18" t="n">
        <x:v>0.7348111351343263</x:v>
      </x:c>
      <x:c r="R5" s="18" t="n">
        <x:v>0.6047823918194288</x:v>
      </x:c>
    </x:row>
    <x:row r="6">
      <x:c r="A6" s="16" t="n">
        <x:v>60</x:v>
      </x:c>
      <x:c r="B6" s="8" t="str">
        <x:v>actual_timing_only</x:v>
      </x:c>
      <x:c r="C6" s="16" t="n">
        <x:v>365</x:v>
      </x:c>
      <x:c r="D6" s="18" t="n">
        <x:v>19401.25</x:v>
      </x:c>
      <x:c r="E6" s="18" t="n">
        <x:v>8763.48356666666</x:v>
      </x:c>
      <x:c r="F6" s="18" t="n">
        <x:v>15274.9817</x:v>
      </x:c>
      <x:c r="G6" s="18" t="n">
        <x:v>4637.215266666659</x:v>
      </x:c>
      <x:c r="H6" s="18" t="n">
        <x:v>8262.333333333334</x:v>
      </x:c>
      <x:c r="I6" s="18" t="n">
        <x:v>7012.648366666666</x:v>
      </x:c>
      <x:c r="J6" s="18" t="n">
        <x:v>11138.916666666668</x:v>
      </x:c>
      <x:c r="K6" s="18" t="n">
        <x:v>0.7873194613749114</x:v>
      </x:c>
      <x:c r="L6" s="18" t="n">
        <x:v>0.2390163142409205</x:v>
      </x:c>
      <x:c r="M6" s="18" t="n">
        <x:v>-0.5483031471339909</x:v>
      </x:c>
      <x:c r="N6" s="18" t="n">
        <x:v>0.425866030968795</x:v>
      </x:c>
      <x:c r="O6" s="18" t="n">
        <x:v>0.3614534304061164</x:v>
      </x:c>
      <x:c r="P6" s="18" t="n">
        <x:v>0.6295628719130375</x:v>
      </x:c>
      <x:c r="Q6" s="18" t="n">
        <x:v>0.4163075643202877</x:v>
      </x:c>
      <x:c r="R6" s="18" t="n">
        <x:v>0.6047823918194288</x:v>
      </x:c>
    </x:row>
    <x:row r="7">
      <x:c r="A7" s="16" t="n">
        <x:v>60</x:v>
      </x:c>
      <x:c r="B7" s="8" t="str">
        <x:v>fixed_5min_frequency_only</x:v>
      </x:c>
      <x:c r="C7" s="16" t="n">
        <x:v>365</x:v>
      </x:c>
      <x:c r="D7" s="18" t="n">
        <x:v>19401.25</x:v>
      </x:c>
      <x:c r="E7" s="18" t="n">
        <x:v>21193.166666666664</x:v>
      </x:c>
      <x:c r="F7" s="18" t="n">
        <x:v>13506.083333333332</x:v>
      </x:c>
      <x:c r="G7" s="18" t="n">
        <x:v>15298</x:v>
      </x:c>
      <x:c r="H7" s="18" t="n">
        <x:v>4103.75</x:v>
      </x:c>
      <x:c r="I7" s="18" t="n">
        <x:v>9402.333333333332</x:v>
      </x:c>
      <x:c r="J7" s="18" t="n">
        <x:v>15297.499999999998</x:v>
      </x:c>
      <x:c r="K7" s="18" t="n">
        <x:v>0.6961450078388419</x:v>
      </x:c>
      <x:c r="L7" s="18" t="n">
        <x:v>0.7885058952387088</x:v>
      </x:c>
      <x:c r="M7" s="18" t="n">
        <x:v>0.0923608873998667</x:v>
      </x:c>
      <x:c r="N7" s="18" t="n">
        <x:v>0.2115198762966303</x:v>
      </x:c>
      <x:c r="O7" s="18" t="n">
        <x:v>0.4846251315422115</x:v>
      </x:c>
      <x:c r="P7" s="18" t="n">
        <x:v>0.6146320204826496</x:v>
      </x:c>
      <x:c r="Q7" s="18" t="n">
        <x:v>1.0000326850792614</x:v>
      </x:c>
      <x:c r="R7" s="18" t="n">
        <x:v>0.0112940100594421</x:v>
      </x:c>
    </x:row>
    <x:row r="8">
      <x:c r="A8" s="16" t="n">
        <x:v>65</x:v>
      </x:c>
      <x:c r="B8" s="8" t="str">
        <x:v>actual_nibp_timing_plus_cuff</x:v>
      </x:c>
      <x:c r="C8" s="16" t="n">
        <x:v>365</x:v>
      </x:c>
      <x:c r="D8" s="18" t="n">
        <x:v>41564.58333333333</x:v>
      </x:c>
      <x:c r="E8" s="18" t="n">
        <x:v>23991.833333333336</x:v>
      </x:c>
      <x:c r="F8" s="18" t="n">
        <x:v>38486.75</x:v>
      </x:c>
      <x:c r="G8" s="18" t="n">
        <x:v>20914</x:v>
      </x:c>
      <x:c r="H8" s="18" t="n">
        <x:v>20011.916666666664</x:v>
      </x:c>
      <x:c r="I8" s="18" t="n">
        <x:v>18474.833333333336</x:v>
      </x:c>
      <x:c r="J8" s="18" t="n">
        <x:v>21552.666666666664</x:v>
      </x:c>
      <x:c r="K8" s="18" t="n">
        <x:v>0.92595057891835</x:v>
      </x:c>
      <x:c r="L8" s="18" t="n">
        <x:v>0.5031687634705028</x:v>
      </x:c>
      <x:c r="M8" s="18" t="n">
        <x:v>-0.4227818154478471</x:v>
      </x:c>
      <x:c r="N8" s="18" t="n">
        <x:v>0.4814655906972082</x:v>
      </x:c>
      <x:c r="O8" s="18" t="n">
        <x:v>0.4444849882211419</x:v>
      </x:c>
      <x:c r="P8" s="18" t="n">
        <x:v>0.8571947786816791</x:v>
      </x:c>
      <x:c r="Q8" s="18" t="n">
        <x:v>0.970367162609422</x:v>
      </x:c>
      <x:c r="R8" s="18" t="n">
        <x:v>0.6047823918194288</x:v>
      </x:c>
    </x:row>
    <x:row r="9">
      <x:c r="A9" s="16" t="n">
        <x:v>65</x:v>
      </x:c>
      <x:c r="B9" s="8" t="str">
        <x:v>actual_timing_only</x:v>
      </x:c>
      <x:c r="C9" s="16" t="n">
        <x:v>365</x:v>
      </x:c>
      <x:c r="D9" s="18" t="n">
        <x:v>41564.58333333333</x:v>
      </x:c>
      <x:c r="E9" s="18" t="n">
        <x:v>18772.83174999999</x:v>
      </x:c>
      <x:c r="F9" s="18" t="n">
        <x:v>31575.39335</x:v>
      </x:c>
      <x:c r="G9" s="18" t="n">
        <x:v>8783.641766666657</x:v>
      </x:c>
      <x:c r="H9" s="18" t="n">
        <x:v>20011.916666666664</x:v>
      </x:c>
      <x:c r="I9" s="18" t="n">
        <x:v>11563.47668333333</x:v>
      </x:c>
      <x:c r="J9" s="18" t="n">
        <x:v>21552.666666666664</x:v>
      </x:c>
      <x:c r="K9" s="18" t="n">
        <x:v>0.7596706334519574</x:v>
      </x:c>
      <x:c r="L9" s="18" t="n">
        <x:v>0.2113251490150867</x:v>
      </x:c>
      <x:c r="M9" s="18" t="n">
        <x:v>-0.5483454844368705</x:v>
      </x:c>
      <x:c r="N9" s="18" t="n">
        <x:v>0.4814655906972082</x:v>
      </x:c>
      <x:c r="O9" s="18" t="n">
        <x:v>0.2782050427547491</x:v>
      </x:c>
      <x:c r="P9" s="18" t="n">
        <x:v>0.5365218542175755</x:v>
      </x:c>
      <x:c r="Q9" s="18" t="n">
        <x:v>0.4075431547526984</x:v>
      </x:c>
      <x:c r="R9" s="18" t="n">
        <x:v>0.6047823918194288</x:v>
      </x:c>
    </x:row>
    <x:row r="10">
      <x:c r="A10" s="16" t="n">
        <x:v>65</x:v>
      </x:c>
      <x:c r="B10" s="8" t="str">
        <x:v>fixed_5min_frequency_only</x:v>
      </x:c>
      <x:c r="C10" s="16" t="n">
        <x:v>365</x:v>
      </x:c>
      <x:c r="D10" s="18" t="n">
        <x:v>41564.58333333333</x:v>
      </x:c>
      <x:c r="E10" s="18" t="n">
        <x:v>43529.666666666664</x:v>
      </x:c>
      <x:c r="F10" s="18" t="n">
        <x:v>24171.5</x:v>
      </x:c>
      <x:c r="G10" s="18" t="n">
        <x:v>26136.583333333332</x:v>
      </x:c>
      <x:c r="H10" s="18" t="n">
        <x:v>5226.166666666666</x:v>
      </x:c>
      <x:c r="I10" s="18" t="n">
        <x:v>18945.333333333332</x:v>
      </x:c>
      <x:c r="J10" s="18" t="n">
        <x:v>36338.416666666664</x:v>
      </x:c>
      <x:c r="K10" s="18" t="n">
        <x:v>0.5815407748985014</x:v>
      </x:c>
      <x:c r="L10" s="18" t="n">
        <x:v>0.6288186055836801</x:v>
      </x:c>
      <x:c r="M10" s="18" t="n">
        <x:v>0.0472778306851787</x:v>
      </x:c>
      <x:c r="N10" s="18" t="n">
        <x:v>0.1257360533306601</x:v>
      </x:c>
      <x:c r="O10" s="18" t="n">
        <x:v>0.4558047215678412</x:v>
      </x:c>
      <x:c r="P10" s="18" t="n">
        <x:v>0.5213582503365355</x:v>
      </x:c>
      <x:c r="Q10" s="18" t="n">
        <x:v>0.719254874891357</x:v>
      </x:c>
      <x:c r="R10" s="18" t="n">
        <x:v>0.0112940100594421</x:v>
      </x:c>
    </x:row>
    <x:row r="11">
      <x:c r="A11" s="16" t="n">
        <x:v>55</x:v>
      </x:c>
      <x:c r="B11" s="8" t="str">
        <x:v>cuff_level_increment_actual_minus_timing</x:v>
      </x:c>
      <x:c r="C11" s="16" t="n">
        <x:v>365</x:v>
      </x:c>
      <x:c r="D11" s="18" t="n">
        <x:v>10446.666666666666</x:v>
      </x:c>
      <x:c r="E11" s="18" t="n">
        <x:v>-1607.6052166666632</x:v>
      </x:c>
      <x:c r="F11" s="18" t="n">
        <x:v>1876.5026666666656</x:v>
      </x:c>
      <x:c r="G11" s="18" t="n">
        <x:v>268.8974500000036</x:v>
      </x:c>
      <x:c r="H11" s="18" t="n">
        <x:v>0</x:v>
      </x:c>
      <x:c r="I11" s="18" t="n">
        <x:v>1876.5026666666663</x:v>
      </x:c>
      <x:c r="J11" s="18" t="n">
        <x:v>0</x:v>
      </x:c>
      <x:c r="K11" s="18" t="n">
        <x:v>0.1796269304403317</x:v>
      </x:c>
      <x:c r="L11" s="18" t="n">
        <x:v>0.0257400239310788</x:v>
      </x:c>
      <x:c r="M11" s="18" t="n">
        <x:v>-0.153886906509253</x:v>
      </x:c>
      <x:c r="N11" s="18" t="n">
        <x:v>0</x:v>
      </x:c>
      <x:c r="O11" s="18" t="n">
        <x:v>0.1796269304403318</x:v>
      </x:c>
      <x:c r="P11" s="18" t="n">
        <x:v>0.2824498519893632</x:v>
      </x:c>
      <x:c r="Q11" s="18" t="n">
        <x:v>0.0404742536751799</x:v>
      </x:c>
      <x:c r="R11" s="18" t="n">
        <x:v>0</x:v>
      </x:c>
    </x:row>
    <x:row r="12">
      <x:c r="A12" s="16" t="n">
        <x:v>60</x:v>
      </x:c>
      <x:c r="B12" s="8" t="str">
        <x:v>cuff_level_increment_actual_minus_timing</x:v>
      </x:c>
      <x:c r="C12" s="16" t="n">
        <x:v>365</x:v>
      </x:c>
      <x:c r="D12" s="18" t="n">
        <x:v>19401.25</x:v>
      </x:c>
      <x:c r="E12" s="18" t="n">
        <x:v>179.8497666666717</x:v>
      </x:c>
      <x:c r="F12" s="18" t="n">
        <x:v>3367.9349666666676</x:v>
      </x:c>
      <x:c r="G12" s="18" t="n">
        <x:v>3547.784733333341</x:v>
      </x:c>
      <x:c r="H12" s="18" t="n">
        <x:v>0</x:v>
      </x:c>
      <x:c r="I12" s="18" t="n">
        <x:v>3367.9349666666676</x:v>
      </x:c>
      <x:c r="J12" s="18" t="n">
        <x:v>0</x:v>
      </x:c>
      <x:c r="K12" s="18" t="n">
        <x:v>0.1735937100272749</x:v>
      </x:c>
      <x:c r="L12" s="18" t="n">
        <x:v>0.1828637192620754</x:v>
      </x:c>
      <x:c r="M12" s="18" t="n">
        <x:v>0.0092700092348004</x:v>
      </x:c>
      <x:c r="N12" s="18" t="n">
        <x:v>0</x:v>
      </x:c>
      <x:c r="O12" s="18" t="n">
        <x:v>0.1735937100272748</x:v>
      </x:c>
      <x:c r="P12" s="18" t="n">
        <x:v>0.3023574973628495</x:v>
      </x:c>
      <x:c r="Q12" s="18" t="n">
        <x:v>0.3185035708140385</x:v>
      </x:c>
      <x:c r="R12" s="18" t="n">
        <x:v>0</x:v>
      </x:c>
    </x:row>
    <x:row r="13">
      <x:c r="A13" s="16" t="n">
        <x:v>65</x:v>
      </x:c>
      <x:c r="B13" s="8" t="str">
        <x:v>cuff_level_increment_actual_minus_timing</x:v>
      </x:c>
      <x:c r="C13" s="16" t="n">
        <x:v>365</x:v>
      </x:c>
      <x:c r="D13" s="18" t="n">
        <x:v>41564.58333333333</x:v>
      </x:c>
      <x:c r="E13" s="18" t="n">
        <x:v>5219.0015833333455</x:v>
      </x:c>
      <x:c r="F13" s="18" t="n">
        <x:v>6911.3566500000015</x:v>
      </x:c>
      <x:c r="G13" s="18" t="n">
        <x:v>12130.358233333343</x:v>
      </x:c>
      <x:c r="H13" s="18" t="n">
        <x:v>0</x:v>
      </x:c>
      <x:c r="I13" s="18" t="n">
        <x:v>6911.356650000005</x:v>
      </x:c>
      <x:c r="J13" s="18" t="n">
        <x:v>0</x:v>
      </x:c>
      <x:c r="K13" s="18" t="n">
        <x:v>0.1662799454663927</x:v>
      </x:c>
      <x:c r="L13" s="18" t="n">
        <x:v>0.291843614455416</x:v>
      </x:c>
      <x:c r="M13" s="18" t="n">
        <x:v>0.1255636689890233</x:v>
      </x:c>
      <x:c r="N13" s="18" t="n">
        <x:v>0</x:v>
      </x:c>
      <x:c r="O13" s="18" t="n">
        <x:v>0.1662799454663928</x:v>
      </x:c>
      <x:c r="P13" s="18" t="n">
        <x:v>0.3206729244641036</x:v>
      </x:c>
      <x:c r="Q13" s="18" t="n">
        <x:v>0.5628240078567236</x:v>
      </x:c>
      <x:c r="R13" s="18" t="n">
        <x:v>0</x:v>
      </x:c>
    </x:row>
  </x:sheetData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20" hidden="0" customWidth="1"/>
    <x:col min="4" max="4" width="20" hidden="0" customWidth="1"/>
    <x:col min="5" max="5" width="21" hidden="0" customWidth="1"/>
    <x:col min="6" max="6" width="32" hidden="0" customWidth="1"/>
    <x:col min="7" max="7" width="32" hidden="0" customWidth="1"/>
    <x:col min="8" max="8" width="17" hidden="0" customWidth="1"/>
    <x:col min="9" max="9" width="20" hidden="0" customWidth="1"/>
    <x:col min="10" max="10" width="16" hidden="0" customWidth="1"/>
    <x:col min="11" max="11" width="34" hidden="0" customWidth="1"/>
    <x:col min="12" max="12" width="34" hidden="0" customWidth="1"/>
    <x:col min="13" max="13" width="25" hidden="0" customWidth="1"/>
    <x:col min="14" max="14" width="34" hidden="0" customWidth="1"/>
    <x:col min="15" max="15" width="34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HDR65</x:v>
      </x:c>
      <x:c r="D1" s="14" t="str">
        <x:v>ODR65</x:v>
      </x:c>
      <x:c r="E1" s="14" t="str">
        <x:v>NetBias</x:v>
      </x:c>
      <x:c r="F1" s="14" t="str">
        <x:v>relative_hdr_reduction_vs_5min</x:v>
      </x:c>
      <x:c r="G1" s="14" t="str">
        <x:v>extra_cuff_inflations_per_hour</x:v>
      </x:c>
      <x:c r="H1" s="14" t="str">
        <x:v>cost_domain</x:v>
      </x:c>
      <x:c r="I1" s="14" t="str">
        <x:v>measurement_burden</x:v>
      </x:c>
      <x:c r="J1" s="14" t="str">
        <x:v>pareto_optimal</x:v>
      </x:c>
      <x:c r="K1" s="14" t="str">
        <x:v>scenario_role</x:v>
      </x:c>
      <x:c r="L1" s="14" t="str">
        <x:v>modality_burden_note</x:v>
      </x:c>
      <x:c r="M1" s="14" t="str">
        <x:v>phase_convention</x:v>
      </x:c>
      <x:c r="N1" s="14" t="str">
        <x:v>analysis_sample</x:v>
      </x:c>
      <x:c r="O1" s="14" t="str">
        <x:v>comparison_baseline</x:v>
      </x:c>
    </x:row>
    <x:row r="2">
      <x:c r="A2" s="8" t="str">
        <x:v>fixed_2_5min</x:v>
      </x:c>
      <x:c r="B2" s="8" t="str">
        <x:v>Fixed every 2.5 min</x:v>
      </x:c>
      <x:c r="C2" s="18" t="n">
        <x:v>0.4663545051867662</x:v>
      </x:c>
      <x:c r="D2" s="18" t="n">
        <x:v>0.4576509965163084</x:v>
      </x:c>
      <x:c r="E2" s="18" t="n">
        <x:v>-0.0087035086704577</x:v>
      </x:c>
      <x:c r="F2" s="18" t="n">
        <x:v>0.2151079917823444</x:v>
      </x:c>
      <x:c r="G2" s="18" t="n">
        <x:v>12</x:v>
      </x:c>
      <x:c r="H2" s="8" t="str">
        <x:v>cuff_cadence</x:v>
      </x:c>
      <x:c r="I2" s="18" t="n">
        <x:v>24</x:v>
      </x:c>
      <x:c r="J2" s="28" t="b">
        <x:v>0</x:v>
      </x:c>
      <x:c r="K2" s="8" t="str">
        <x:v>hypothesis-generating monitoring policy scenario</x:v>
      </x:c>
      <x:c r="L2" s="8"/>
      <x:c r="M2" s="8" t="str">
        <x:v>start_anchored_offset_0</x:v>
      </x:c>
      <x:c r="N2" s="8" t="str">
        <x:v>same 2435-case primary arterial-series cohort</x:v>
      </x:c>
      <x:c r="O2" s="8" t="str">
        <x:v>fixed_5min_reference under the same start-anchored convention</x:v>
      </x:c>
    </x:row>
    <x:row r="3">
      <x:c r="A3" s="8" t="str">
        <x:v>fixed_3min</x:v>
      </x:c>
      <x:c r="B3" s="8" t="str">
        <x:v>Fixed every 3 min</x:v>
      </x:c>
      <x:c r="C3" s="18" t="n">
        <x:v>0.5000715043433327</x:v>
      </x:c>
      <x:c r="D3" s="18" t="n">
        <x:v>0.49283049784184</x:v>
      </x:c>
      <x:c r="E3" s="18" t="n">
        <x:v>-0.0072410065014926</x:v>
      </x:c>
      <x:c r="F3" s="18" t="n">
        <x:v>0.1583610259339668</x:v>
      </x:c>
      <x:c r="G3" s="18" t="n">
        <x:v>8</x:v>
      </x:c>
      <x:c r="H3" s="8" t="str">
        <x:v>cuff_cadence</x:v>
      </x:c>
      <x:c r="I3" s="18" t="n">
        <x:v>20</x:v>
      </x:c>
      <x:c r="J3" s="28" t="b">
        <x:v>1</x:v>
      </x:c>
      <x:c r="K3" s="8" t="str">
        <x:v>hypothesis-generating monitoring policy scenario</x:v>
      </x:c>
      <x:c r="L3" s="8"/>
      <x:c r="M3" s="8" t="str">
        <x:v>start_anchored_offset_0</x:v>
      </x:c>
      <x:c r="N3" s="8" t="str">
        <x:v>same 2435-case primary arterial-series cohort</x:v>
      </x:c>
      <x:c r="O3" s="8" t="str">
        <x:v>fixed_5min_reference under the same start-anchored convention</x:v>
      </x:c>
    </x:row>
    <x:row r="4">
      <x:c r="A4" s="8" t="str">
        <x:v>fixed_5min_reference</x:v>
      </x:c>
      <x:c r="B4" s="8" t="str">
        <x:v>Fixed every 5 min</x:v>
      </x:c>
      <x:c r="C4" s="18" t="n">
        <x:v>0.5941639108363085</x:v>
      </x:c>
      <x:c r="D4" s="18" t="n">
        <x:v>0.5846446170576949</x:v>
      </x:c>
      <x:c r="E4" s="18" t="n">
        <x:v>-0.0095192937786136</x:v>
      </x:c>
      <x:c r="F4" s="18" t="n">
        <x:v>0</x:v>
      </x:c>
      <x:c r="G4" s="18" t="n">
        <x:v>0</x:v>
      </x:c>
      <x:c r="H4" s="8" t="str">
        <x:v>cuff_cadence</x:v>
      </x:c>
      <x:c r="I4" s="18" t="n">
        <x:v>12</x:v>
      </x:c>
      <x:c r="J4" s="28" t="b">
        <x:v>1</x:v>
      </x:c>
      <x:c r="K4" s="8" t="str">
        <x:v>hypothesis-generating monitoring policy scenario</x:v>
      </x:c>
      <x:c r="L4" s="8"/>
      <x:c r="M4" s="8" t="str">
        <x:v>start_anchored_offset_0</x:v>
      </x:c>
      <x:c r="N4" s="8" t="str">
        <x:v>same 2435-case primary arterial-series cohort</x:v>
      </x:c>
      <x:c r="O4" s="8" t="str">
        <x:v>fixed_5min_reference under the same start-anchored convention</x:v>
      </x:c>
    </x:row>
    <x:row r="5">
      <x:c r="A5" s="8" t="str">
        <x:v>induction_intensified_first20min</x:v>
      </x:c>
      <x:c r="B5" s="8" t="str">
        <x:v>1-min sampling for first 20 min, then 5-min</x:v>
      </x:c>
      <x:c r="C5" s="18" t="n">
        <x:v>0.5093263909501561</x:v>
      </x:c>
      <x:c r="D5" s="18" t="n">
        <x:v>0.5302955957773666</x:v>
      </x:c>
      <x:c r="E5" s="18" t="n">
        <x:v>0.0209692048272104</x:v>
      </x:c>
      <x:c r="F5" s="18" t="n">
        <x:v>0.1427847069451598</x:v>
      </x:c>
      <x:c r="G5" s="18" t="n">
        <x:v>4.951114776054361</x:v>
      </x:c>
      <x:c r="H5" s="8" t="str">
        <x:v>cuff_cadence</x:v>
      </x:c>
      <x:c r="I5" s="18" t="n">
        <x:v>16.95111477605436</x:v>
      </x:c>
      <x:c r="J5" s="28" t="b">
        <x:v>1</x:v>
      </x:c>
      <x:c r="K5" s="8" t="str">
        <x:v>hypothesis-generating monitoring policy scenario</x:v>
      </x:c>
      <x:c r="L5" s="8"/>
      <x:c r="M5" s="8" t="str">
        <x:v>start_anchored_offset_0</x:v>
      </x:c>
      <x:c r="N5" s="8" t="str">
        <x:v>same 2435-case primary arterial-series cohort</x:v>
      </x:c>
      <x:c r="O5" s="8" t="str">
        <x:v>fixed_5min_reference under the same start-anchored convention</x:v>
      </x:c>
    </x:row>
    <x:row r="6">
      <x:c r="A6" s="8" t="str">
        <x:v>selective_continuous_top20_oof</x:v>
      </x:c>
      <x:c r="B6" s="8" t="str">
        <x:v>OOF high-hidden-risk top 20 percent continuous reference, others 5-min</x:v>
      </x:c>
      <x:c r="C6" s="18" t="n">
        <x:v>0.3935198632709837</x:v>
      </x:c>
      <x:c r="D6" s="18" t="n">
        <x:v>0.3943830001442799</x:v>
      </x:c>
      <x:c r="E6" s="18" t="n">
        <x:v>0.0008631368732961</x:v>
      </x:c>
      <x:c r="F6" s="18" t="n">
        <x:v>0.3376914078859326</x:v>
      </x:c>
      <x:c r="G6" s="18"/>
      <x:c r="H6" s="8" t="str">
        <x:v>modality_change</x:v>
      </x:c>
      <x:c r="I6" s="18" t="n">
        <x:v>12</x:v>
      </x:c>
      <x:c r="J6" s="28" t="b">
        <x:v>0</x:v>
      </x:c>
      <x:c r="K6" s="8" t="str">
        <x:v>hypothesis-generating monitoring policy scenario</x:v>
      </x:c>
      <x:c r="L6" s="8" t="str">
        <x:v>Continuous/reference monitoring changes device/staffing/insertion burden; not comparable as zero-cost cuff cadence.</x:v>
      </x:c>
      <x:c r="M6" s="8" t="str">
        <x:v>start_anchored_offset_0</x:v>
      </x:c>
      <x:c r="N6" s="8" t="str">
        <x:v>same 2435-case primary arterial-series cohort</x:v>
      </x:c>
      <x:c r="O6" s="8" t="str">
        <x:v>fixed_5min_reference under the same start-anchored convention</x:v>
      </x:c>
    </x:row>
    <x:row r="7">
      <x:c r="A7" s="8" t="str">
        <x:v>threshold_triggered_adaptive</x:v>
      </x:c>
      <x:c r="B7" s="8" t="str">
        <x:v>Rule-based 1-min escalation after displayed MAP &lt;70</x:v>
      </x:c>
      <x:c r="C7" s="18" t="n">
        <x:v>0.4480325500482733</x:v>
      </x:c>
      <x:c r="D7" s="18" t="n">
        <x:v>0.1783318322717851</x:v>
      </x:c>
      <x:c r="E7" s="18" t="n">
        <x:v>-0.2697007177764882</x:v>
      </x:c>
      <x:c r="F7" s="18" t="n">
        <x:v>0.245944524941526</x:v>
      </x:c>
      <x:c r="G7" s="18" t="n">
        <x:v>8.81970167278465</x:v>
      </x:c>
      <x:c r="H7" s="8" t="str">
        <x:v>cuff_cadence</x:v>
      </x:c>
      <x:c r="I7" s="18" t="n">
        <x:v>20.81970167278465</x:v>
      </x:c>
      <x:c r="J7" s="28" t="b">
        <x:v>1</x:v>
      </x:c>
      <x:c r="K7" s="8" t="str">
        <x:v>hypothesis-generating monitoring policy scenario</x:v>
      </x:c>
      <x:c r="L7" s="8"/>
      <x:c r="M7" s="8" t="str">
        <x:v>start_anchored_offset_0</x:v>
      </x:c>
      <x:c r="N7" s="8" t="str">
        <x:v>same 2435-case primary arterial-series cohort</x:v>
      </x:c>
      <x:c r="O7" s="8" t="str">
        <x:v>fixed_5min_reference under the same start-anchored convention</x:v>
      </x:c>
    </x:row>
    <x:row r="8">
      <x:c r="A8" s="8" t="str">
        <x:v>trend_triggered_adaptive</x:v>
      </x:c>
      <x:c r="B8" s="8" t="str">
        <x:v>Rule-based 1-min escalation after a &gt;=8-mm Hg fall or MAP &lt;75</x:v>
      </x:c>
      <x:c r="C8" s="18" t="n">
        <x:v>0.4051963636386749</x:v>
      </x:c>
      <x:c r="D8" s="18" t="n">
        <x:v>0.2107773253053553</x:v>
      </x:c>
      <x:c r="E8" s="18" t="n">
        <x:v>-0.1944190383333196</x:v>
      </x:c>
      <x:c r="F8" s="18" t="n">
        <x:v>0.3180394227102324</x:v>
      </x:c>
      <x:c r="G8" s="18" t="n">
        <x:v>15.88529822636406</x:v>
      </x:c>
      <x:c r="H8" s="8" t="str">
        <x:v>cuff_cadence</x:v>
      </x:c>
      <x:c r="I8" s="18" t="n">
        <x:v>27.88529822636406</x:v>
      </x:c>
      <x:c r="J8" s="28" t="b">
        <x:v>1</x:v>
      </x:c>
      <x:c r="K8" s="8" t="str">
        <x:v>hypothesis-generating monitoring policy scenario</x:v>
      </x:c>
      <x:c r="L8" s="8"/>
      <x:c r="M8" s="8" t="str">
        <x:v>start_anchored_offset_0</x:v>
      </x:c>
      <x:c r="N8" s="8" t="str">
        <x:v>same 2435-case primary arterial-series cohort</x:v>
      </x:c>
      <x:c r="O8" s="8" t="str">
        <x:v>fixed_5min_reference under the same start-anchored convention</x:v>
      </x:c>
    </x:row>
    <x:row r="9">
      <x:c r="A9" s="8" t="str">
        <x:v>universal_1min_proxy</x:v>
      </x:c>
      <x:c r="B9" s="8" t="str">
        <x:v>Fixed every 1 min proxy</x:v>
      </x:c>
      <x:c r="C9" s="18" t="n">
        <x:v>0.3016914431864623</x:v>
      </x:c>
      <x:c r="D9" s="18" t="n">
        <x:v>0.2876791342699025</x:v>
      </x:c>
      <x:c r="E9" s="18" t="n">
        <x:v>-0.0140123089165597</x:v>
      </x:c>
      <x:c r="F9" s="18" t="n">
        <x:v>0.4922420603401845</x:v>
      </x:c>
      <x:c r="G9" s="18" t="n">
        <x:v>48</x:v>
      </x:c>
      <x:c r="H9" s="8" t="str">
        <x:v>cuff_cadence</x:v>
      </x:c>
      <x:c r="I9" s="18" t="n">
        <x:v>60</x:v>
      </x:c>
      <x:c r="J9" s="28" t="b">
        <x:v>1</x:v>
      </x:c>
      <x:c r="K9" s="8" t="str">
        <x:v>hypothesis-generating monitoring policy scenario</x:v>
      </x:c>
      <x:c r="L9" s="8"/>
      <x:c r="M9" s="8" t="str">
        <x:v>start_anchored_offset_0</x:v>
      </x:c>
      <x:c r="N9" s="8" t="str">
        <x:v>same 2435-case primary arterial-series cohort</x:v>
      </x:c>
      <x:c r="O9" s="8" t="str">
        <x:v>fixed_5min_reference under the same start-anchored convention</x:v>
      </x:c>
    </x:row>
    <x:row r="10">
      <x:c r="A10" s="8" t="str">
        <x:v>universal_continuous_reference</x:v>
      </x:c>
      <x:c r="B10" s="8" t="str">
        <x:v>All cases continuously observed; theoretical upper reference</x:v>
      </x:c>
      <x:c r="C10" s="18" t="n">
        <x:v>0</x:v>
      </x:c>
      <x:c r="D10" s="18" t="n">
        <x:v>0</x:v>
      </x:c>
      <x:c r="E10" s="18" t="n">
        <x:v>0</x:v>
      </x:c>
      <x:c r="F10" s="18" t="n">
        <x:v>1</x:v>
      </x:c>
      <x:c r="G10" s="18"/>
      <x:c r="H10" s="8" t="str">
        <x:v>modality_change</x:v>
      </x:c>
      <x:c r="I10" s="18"/>
      <x:c r="J10" s="28" t="b">
        <x:v>1</x:v>
      </x:c>
      <x:c r="K10" s="8" t="str">
        <x:v>hypothesis-generating monitoring policy scenario</x:v>
      </x:c>
      <x:c r="L10" s="8" t="str">
        <x:v>Continuous/reference monitoring changes device/staffing/insertion burden; not comparable as zero-cost cuff cadence.</x:v>
      </x:c>
      <x:c r="M10" s="8" t="str">
        <x:v>start_anchored_offset_0</x:v>
      </x:c>
      <x:c r="N10" s="8" t="str">
        <x:v>same 2435-case primary arterial-series cohort</x:v>
      </x:c>
      <x:c r="O10" s="8" t="str">
        <x:v>fixed_5min_reference under the same start-anchored convention</x:v>
      </x:c>
    </x:row>
  </x:sheetData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20" hidden="0" customWidth="1"/>
    <x:col min="4" max="4" width="20" hidden="0" customWidth="1"/>
    <x:col min="5" max="5" width="21" hidden="0" customWidth="1"/>
    <x:col min="6" max="6" width="32" hidden="0" customWidth="1"/>
    <x:col min="7" max="7" width="32" hidden="0" customWidth="1"/>
    <x:col min="8" max="8" width="17" hidden="0" customWidth="1"/>
    <x:col min="9" max="9" width="20" hidden="0" customWidth="1"/>
    <x:col min="10" max="10" width="16" hidden="0" customWidth="1"/>
    <x:col min="11" max="11" width="34" hidden="0" customWidth="1"/>
    <x:col min="12" max="12" width="34" hidden="0" customWidth="1"/>
    <x:col min="13" max="13" width="25" hidden="0" customWidth="1"/>
    <x:col min="14" max="14" width="34" hidden="0" customWidth="1"/>
    <x:col min="15" max="15" width="34" hidden="0" customWidth="1"/>
  </x:cols>
  <x:sheetData>
    <x:row r="1" ht="32" customHeight="1">
      <x:c r="A1" s="14" t="str">
        <x:v>strategy</x:v>
      </x:c>
      <x:c r="B1" s="14" t="str">
        <x:v>definition</x:v>
      </x:c>
      <x:c r="C1" s="14" t="str">
        <x:v>HDR65</x:v>
      </x:c>
      <x:c r="D1" s="14" t="str">
        <x:v>ODR65</x:v>
      </x:c>
      <x:c r="E1" s="14" t="str">
        <x:v>NetBias</x:v>
      </x:c>
      <x:c r="F1" s="14" t="str">
        <x:v>relative_hdr_reduction_vs_5min</x:v>
      </x:c>
      <x:c r="G1" s="14" t="str">
        <x:v>extra_cuff_inflations_per_hour</x:v>
      </x:c>
      <x:c r="H1" s="14" t="str">
        <x:v>cost_domain</x:v>
      </x:c>
      <x:c r="I1" s="14" t="str">
        <x:v>measurement_burden</x:v>
      </x:c>
      <x:c r="J1" s="14" t="str">
        <x:v>pareto_optimal</x:v>
      </x:c>
      <x:c r="K1" s="14" t="str">
        <x:v>scenario_role</x:v>
      </x:c>
      <x:c r="L1" s="14" t="str">
        <x:v>modality_burden_note</x:v>
      </x:c>
      <x:c r="M1" s="14" t="str">
        <x:v>phase_convention</x:v>
      </x:c>
      <x:c r="N1" s="14" t="str">
        <x:v>analysis_sample</x:v>
      </x:c>
      <x:c r="O1" s="14" t="str">
        <x:v>comparison_baseline</x:v>
      </x:c>
    </x:row>
    <x:row r="2">
      <x:c r="A2" s="8" t="str">
        <x:v>fixed_2_5min</x:v>
      </x:c>
      <x:c r="B2" s="8" t="str">
        <x:v>Fixed every 2.5 min</x:v>
      </x:c>
      <x:c r="C2" s="18" t="n">
        <x:v>0.4663545051867662</x:v>
      </x:c>
      <x:c r="D2" s="18" t="n">
        <x:v>0.4576509965163084</x:v>
      </x:c>
      <x:c r="E2" s="18" t="n">
        <x:v>-0.0087035086704577</x:v>
      </x:c>
      <x:c r="F2" s="18" t="n">
        <x:v>0.2151079917823444</x:v>
      </x:c>
      <x:c r="G2" s="18" t="n">
        <x:v>12</x:v>
      </x:c>
      <x:c r="H2" s="8" t="str">
        <x:v>cuff_cadence</x:v>
      </x:c>
      <x:c r="I2" s="18" t="n">
        <x:v>24</x:v>
      </x:c>
      <x:c r="J2" s="28" t="b">
        <x:v>0</x:v>
      </x:c>
      <x:c r="K2" s="8" t="str">
        <x:v>hypothesis-generating monitoring policy scenario</x:v>
      </x:c>
      <x:c r="L2" s="8"/>
      <x:c r="M2" s="8" t="str">
        <x:v>start_anchored_offset_0</x:v>
      </x:c>
      <x:c r="N2" s="8" t="str">
        <x:v>same 2435-case primary arterial-series cohort</x:v>
      </x:c>
      <x:c r="O2" s="8" t="str">
        <x:v>fixed_5min_reference under the same start-anchored convention</x:v>
      </x:c>
    </x:row>
    <x:row r="3">
      <x:c r="A3" s="8" t="str">
        <x:v>fixed_3min</x:v>
      </x:c>
      <x:c r="B3" s="8" t="str">
        <x:v>Fixed every 3 min</x:v>
      </x:c>
      <x:c r="C3" s="18" t="n">
        <x:v>0.5000715043433327</x:v>
      </x:c>
      <x:c r="D3" s="18" t="n">
        <x:v>0.49283049784184</x:v>
      </x:c>
      <x:c r="E3" s="18" t="n">
        <x:v>-0.0072410065014926</x:v>
      </x:c>
      <x:c r="F3" s="18" t="n">
        <x:v>0.1583610259339668</x:v>
      </x:c>
      <x:c r="G3" s="18" t="n">
        <x:v>8</x:v>
      </x:c>
      <x:c r="H3" s="8" t="str">
        <x:v>cuff_cadence</x:v>
      </x:c>
      <x:c r="I3" s="18" t="n">
        <x:v>20</x:v>
      </x:c>
      <x:c r="J3" s="28" t="b">
        <x:v>1</x:v>
      </x:c>
      <x:c r="K3" s="8" t="str">
        <x:v>hypothesis-generating monitoring policy scenario</x:v>
      </x:c>
      <x:c r="L3" s="8"/>
      <x:c r="M3" s="8" t="str">
        <x:v>start_anchored_offset_0</x:v>
      </x:c>
      <x:c r="N3" s="8" t="str">
        <x:v>same 2435-case primary arterial-series cohort</x:v>
      </x:c>
      <x:c r="O3" s="8" t="str">
        <x:v>fixed_5min_reference under the same start-anchored convention</x:v>
      </x:c>
    </x:row>
    <x:row r="4">
      <x:c r="A4" s="8" t="str">
        <x:v>fixed_5min_reference</x:v>
      </x:c>
      <x:c r="B4" s="8" t="str">
        <x:v>Fixed every 5 min</x:v>
      </x:c>
      <x:c r="C4" s="18" t="n">
        <x:v>0.5941639108363085</x:v>
      </x:c>
      <x:c r="D4" s="18" t="n">
        <x:v>0.5846446170576949</x:v>
      </x:c>
      <x:c r="E4" s="18" t="n">
        <x:v>-0.0095192937786136</x:v>
      </x:c>
      <x:c r="F4" s="18" t="n">
        <x:v>0</x:v>
      </x:c>
      <x:c r="G4" s="18" t="n">
        <x:v>0</x:v>
      </x:c>
      <x:c r="H4" s="8" t="str">
        <x:v>cuff_cadence</x:v>
      </x:c>
      <x:c r="I4" s="18" t="n">
        <x:v>12</x:v>
      </x:c>
      <x:c r="J4" s="28" t="b">
        <x:v>1</x:v>
      </x:c>
      <x:c r="K4" s="8" t="str">
        <x:v>hypothesis-generating monitoring policy scenario</x:v>
      </x:c>
      <x:c r="L4" s="8"/>
      <x:c r="M4" s="8" t="str">
        <x:v>start_anchored_offset_0</x:v>
      </x:c>
      <x:c r="N4" s="8" t="str">
        <x:v>same 2435-case primary arterial-series cohort</x:v>
      </x:c>
      <x:c r="O4" s="8" t="str">
        <x:v>fixed_5min_reference under the same start-anchored convention</x:v>
      </x:c>
    </x:row>
    <x:row r="5">
      <x:c r="A5" s="8" t="str">
        <x:v>induction_intensified_first20min</x:v>
      </x:c>
      <x:c r="B5" s="8" t="str">
        <x:v>1-min sampling for first 20 min, then 5-min</x:v>
      </x:c>
      <x:c r="C5" s="18" t="n">
        <x:v>0.5093263909501561</x:v>
      </x:c>
      <x:c r="D5" s="18" t="n">
        <x:v>0.5302955957773666</x:v>
      </x:c>
      <x:c r="E5" s="18" t="n">
        <x:v>0.0209692048272104</x:v>
      </x:c>
      <x:c r="F5" s="18" t="n">
        <x:v>0.1427847069451598</x:v>
      </x:c>
      <x:c r="G5" s="18" t="n">
        <x:v>4.951114776054361</x:v>
      </x:c>
      <x:c r="H5" s="8" t="str">
        <x:v>cuff_cadence</x:v>
      </x:c>
      <x:c r="I5" s="18" t="n">
        <x:v>16.95111477605436</x:v>
      </x:c>
      <x:c r="J5" s="28" t="b">
        <x:v>1</x:v>
      </x:c>
      <x:c r="K5" s="8" t="str">
        <x:v>hypothesis-generating monitoring policy scenario</x:v>
      </x:c>
      <x:c r="L5" s="8"/>
      <x:c r="M5" s="8" t="str">
        <x:v>start_anchored_offset_0</x:v>
      </x:c>
      <x:c r="N5" s="8" t="str">
        <x:v>same 2435-case primary arterial-series cohort</x:v>
      </x:c>
      <x:c r="O5" s="8" t="str">
        <x:v>fixed_5min_reference under the same start-anchored convention</x:v>
      </x:c>
    </x:row>
    <x:row r="6">
      <x:c r="A6" s="8" t="str">
        <x:v>selective_continuous_top20_oof</x:v>
      </x:c>
      <x:c r="B6" s="8" t="str">
        <x:v>OOF high-hidden-risk top 20 percent continuous reference, others 5-min</x:v>
      </x:c>
      <x:c r="C6" s="18" t="n">
        <x:v>0.3935198632709837</x:v>
      </x:c>
      <x:c r="D6" s="18" t="n">
        <x:v>0.3943830001442799</x:v>
      </x:c>
      <x:c r="E6" s="18" t="n">
        <x:v>0.0008631368732961</x:v>
      </x:c>
      <x:c r="F6" s="18" t="n">
        <x:v>0.3376914078859326</x:v>
      </x:c>
      <x:c r="G6" s="18"/>
      <x:c r="H6" s="8" t="str">
        <x:v>modality_change</x:v>
      </x:c>
      <x:c r="I6" s="18" t="n">
        <x:v>12</x:v>
      </x:c>
      <x:c r="J6" s="28" t="b">
        <x:v>0</x:v>
      </x:c>
      <x:c r="K6" s="8" t="str">
        <x:v>hypothesis-generating monitoring policy scenario</x:v>
      </x:c>
      <x:c r="L6" s="8" t="str">
        <x:v>Continuous/reference monitoring changes device/staffing/insertion burden; not comparable as zero-cost cuff cadence.</x:v>
      </x:c>
      <x:c r="M6" s="8" t="str">
        <x:v>start_anchored_offset_0</x:v>
      </x:c>
      <x:c r="N6" s="8" t="str">
        <x:v>same 2435-case primary arterial-series cohort</x:v>
      </x:c>
      <x:c r="O6" s="8" t="str">
        <x:v>fixed_5min_reference under the same start-anchored convention</x:v>
      </x:c>
    </x:row>
    <x:row r="7">
      <x:c r="A7" s="8" t="str">
        <x:v>threshold_triggered_adaptive</x:v>
      </x:c>
      <x:c r="B7" s="8" t="str">
        <x:v>Rule-based 1-min escalation after displayed MAP &lt;70</x:v>
      </x:c>
      <x:c r="C7" s="18" t="n">
        <x:v>0.4480325500482733</x:v>
      </x:c>
      <x:c r="D7" s="18" t="n">
        <x:v>0.1783318322717851</x:v>
      </x:c>
      <x:c r="E7" s="18" t="n">
        <x:v>-0.2697007177764882</x:v>
      </x:c>
      <x:c r="F7" s="18" t="n">
        <x:v>0.245944524941526</x:v>
      </x:c>
      <x:c r="G7" s="18" t="n">
        <x:v>8.81970167278465</x:v>
      </x:c>
      <x:c r="H7" s="8" t="str">
        <x:v>cuff_cadence</x:v>
      </x:c>
      <x:c r="I7" s="18" t="n">
        <x:v>20.81970167278465</x:v>
      </x:c>
      <x:c r="J7" s="28" t="b">
        <x:v>1</x:v>
      </x:c>
      <x:c r="K7" s="8" t="str">
        <x:v>hypothesis-generating monitoring policy scenario</x:v>
      </x:c>
      <x:c r="L7" s="8"/>
      <x:c r="M7" s="8" t="str">
        <x:v>start_anchored_offset_0</x:v>
      </x:c>
      <x:c r="N7" s="8" t="str">
        <x:v>same 2435-case primary arterial-series cohort</x:v>
      </x:c>
      <x:c r="O7" s="8" t="str">
        <x:v>fixed_5min_reference under the same start-anchored convention</x:v>
      </x:c>
    </x:row>
    <x:row r="8">
      <x:c r="A8" s="8" t="str">
        <x:v>trend_triggered_adaptive</x:v>
      </x:c>
      <x:c r="B8" s="8" t="str">
        <x:v>Rule-based 1-min escalation after a &gt;=8-mm Hg fall or MAP &lt;75</x:v>
      </x:c>
      <x:c r="C8" s="18" t="n">
        <x:v>0.4051963636386749</x:v>
      </x:c>
      <x:c r="D8" s="18" t="n">
        <x:v>0.2107773253053553</x:v>
      </x:c>
      <x:c r="E8" s="18" t="n">
        <x:v>-0.1944190383333196</x:v>
      </x:c>
      <x:c r="F8" s="18" t="n">
        <x:v>0.3180394227102324</x:v>
      </x:c>
      <x:c r="G8" s="18" t="n">
        <x:v>15.88529822636406</x:v>
      </x:c>
      <x:c r="H8" s="8" t="str">
        <x:v>cuff_cadence</x:v>
      </x:c>
      <x:c r="I8" s="18" t="n">
        <x:v>27.88529822636406</x:v>
      </x:c>
      <x:c r="J8" s="28" t="b">
        <x:v>1</x:v>
      </x:c>
      <x:c r="K8" s="8" t="str">
        <x:v>hypothesis-generating monitoring policy scenario</x:v>
      </x:c>
      <x:c r="L8" s="8"/>
      <x:c r="M8" s="8" t="str">
        <x:v>start_anchored_offset_0</x:v>
      </x:c>
      <x:c r="N8" s="8" t="str">
        <x:v>same 2435-case primary arterial-series cohort</x:v>
      </x:c>
      <x:c r="O8" s="8" t="str">
        <x:v>fixed_5min_reference under the same start-anchored convention</x:v>
      </x:c>
    </x:row>
    <x:row r="9">
      <x:c r="A9" s="8" t="str">
        <x:v>universal_1min_proxy</x:v>
      </x:c>
      <x:c r="B9" s="8" t="str">
        <x:v>Fixed every 1 min proxy</x:v>
      </x:c>
      <x:c r="C9" s="18" t="n">
        <x:v>0.3016914431864623</x:v>
      </x:c>
      <x:c r="D9" s="18" t="n">
        <x:v>0.2876791342699025</x:v>
      </x:c>
      <x:c r="E9" s="18" t="n">
        <x:v>-0.0140123089165597</x:v>
      </x:c>
      <x:c r="F9" s="18" t="n">
        <x:v>0.4922420603401845</x:v>
      </x:c>
      <x:c r="G9" s="18" t="n">
        <x:v>48</x:v>
      </x:c>
      <x:c r="H9" s="8" t="str">
        <x:v>cuff_cadence</x:v>
      </x:c>
      <x:c r="I9" s="18" t="n">
        <x:v>60</x:v>
      </x:c>
      <x:c r="J9" s="28" t="b">
        <x:v>1</x:v>
      </x:c>
      <x:c r="K9" s="8" t="str">
        <x:v>hypothesis-generating monitoring policy scenario</x:v>
      </x:c>
      <x:c r="L9" s="8"/>
      <x:c r="M9" s="8" t="str">
        <x:v>start_anchored_offset_0</x:v>
      </x:c>
      <x:c r="N9" s="8" t="str">
        <x:v>same 2435-case primary arterial-series cohort</x:v>
      </x:c>
      <x:c r="O9" s="8" t="str">
        <x:v>fixed_5min_reference under the same start-anchored convention</x:v>
      </x:c>
    </x:row>
    <x:row r="10">
      <x:c r="A10" s="8" t="str">
        <x:v>universal_continuous_reference</x:v>
      </x:c>
      <x:c r="B10" s="8" t="str">
        <x:v>All cases continuously observed; theoretical upper reference</x:v>
      </x:c>
      <x:c r="C10" s="18" t="n">
        <x:v>0</x:v>
      </x:c>
      <x:c r="D10" s="18" t="n">
        <x:v>0</x:v>
      </x:c>
      <x:c r="E10" s="18" t="n">
        <x:v>0</x:v>
      </x:c>
      <x:c r="F10" s="18" t="n">
        <x:v>1</x:v>
      </x:c>
      <x:c r="G10" s="18"/>
      <x:c r="H10" s="8" t="str">
        <x:v>modality_change</x:v>
      </x:c>
      <x:c r="I10" s="18"/>
      <x:c r="J10" s="28" t="b">
        <x:v>1</x:v>
      </x:c>
      <x:c r="K10" s="8" t="str">
        <x:v>hypothesis-generating monitoring policy scenario</x:v>
      </x:c>
      <x:c r="L10" s="8" t="str">
        <x:v>Continuous/reference monitoring changes device/staffing/insertion burden; not comparable as zero-cost cuff cadence.</x:v>
      </x:c>
      <x:c r="M10" s="8" t="str">
        <x:v>start_anchored_offset_0</x:v>
      </x:c>
      <x:c r="N10" s="8" t="str">
        <x:v>same 2435-case primary arterial-series cohort</x:v>
      </x:c>
      <x:c r="O10" s="8" t="str">
        <x:v>fixed_5min_reference under the same start-anchored convention</x:v>
      </x:c>
    </x:row>
  </x:sheetData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</x:cols>
  <x:sheetData>
    <x:row r="1" ht="32" customHeight="1">
      <x:c r="A1" s="14" t="str">
        <x:v>step</x:v>
      </x:c>
      <x:c r="B1" s="14" t="str">
        <x:v>n</x:v>
      </x:c>
    </x:row>
    <x:row r="2">
      <x:c r="A2" s="8" t="str">
        <x:v>source_operations</x:v>
      </x:c>
      <x:c r="B2" s="16" t="n">
        <x:v>130960</x:v>
      </x:c>
    </x:row>
    <x:row r="3">
      <x:c r="A3" s="8" t="str">
        <x:v>adult_general_duration_no_cpb_target_population</x:v>
      </x:c>
      <x:c r="B3" s="16" t="n">
        <x:v>89576</x:v>
      </x:c>
    </x:row>
  </x:sheetData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7" hidden="0" customWidth="1"/>
    <x:col min="3" max="3" width="16" hidden="0" customWidth="1"/>
    <x:col min="4" max="4" width="23" hidden="0" customWidth="1"/>
    <x:col min="5" max="5" width="23" hidden="0" customWidth="1"/>
  </x:cols>
  <x:sheetData>
    <x:row r="1" ht="32" customHeight="1">
      <x:c r="A1" s="14" t="str">
        <x:v>time_window</x:v>
      </x:c>
      <x:c r="B1" s="14" t="str">
        <x:v>candidate_cases</x:v>
      </x:c>
      <x:c r="C1" s="14" t="str">
        <x:v>included_cases</x:v>
      </x:c>
      <x:c r="D1" s="14" t="str">
        <x:v>median_valid_coverage</x:v>
      </x:c>
      <x:c r="E1" s="14" t="str">
        <x:v>median_total_10s_bins</x:v>
      </x:c>
    </x:row>
    <x:row r="2">
      <x:c r="A2" s="8" t="str">
        <x:v>anaesthetic_interval</x:v>
      </x:c>
      <x:c r="B2" s="16" t="n">
        <x:v>3315</x:v>
      </x:c>
      <x:c r="C2" s="16" t="n">
        <x:v>2435</x:v>
      </x:c>
      <x:c r="D2" s="18" t="n">
        <x:v>0.8907657657657657</x:v>
      </x:c>
      <x:c r="E2" s="16" t="n">
        <x:v>1199</x:v>
      </x:c>
    </x:row>
    <x:row r="3">
      <x:c r="A3" s="8" t="str">
        <x:v>surgery_interval</x:v>
      </x:c>
      <x:c r="B3" s="16" t="n">
        <x:v>3315</x:v>
      </x:c>
      <x:c r="C3" s="16" t="n">
        <x:v>2425</x:v>
      </x:c>
      <x:c r="D3" s="18" t="n">
        <x:v>0.9962962962962963</x:v>
      </x:c>
      <x:c r="E3" s="16" t="n">
        <x:v>840</x:v>
      </x:c>
    </x:row>
  </x:sheetData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22" hidden="0" customWidth="1"/>
    <x:col min="4" max="4" width="33" hidden="0" customWidth="1"/>
    <x:col min="5" max="5" width="28" hidden="0" customWidth="1"/>
    <x:col min="6" max="6" width="16" hidden="0" customWidth="1"/>
    <x:col min="7" max="7" width="34" hidden="0" customWidth="1"/>
  </x:cols>
  <x:sheetData>
    <x:row r="1" ht="32" customHeight="1">
      <x:c r="A1" s="14" t="str">
        <x:v>track_role</x:v>
      </x:c>
      <x:c r="B1" s="14" t="str">
        <x:v>candidate_priority</x:v>
      </x:c>
      <x:c r="C1" s="14" t="str">
        <x:v>configured_candidate</x:v>
      </x:c>
      <x:c r="D1" s="14" t="str">
        <x:v>available_track_rows_exact_name</x:v>
      </x:c>
      <x:c r="E1" s="14" t="str">
        <x:v>available_cases_exact_name</x:v>
      </x:c>
      <x:c r="F1" s="14" t="str">
        <x:v>selected_cases</x:v>
      </x:c>
      <x:c r="G1" s="14" t="str">
        <x:v>selection_rule</x:v>
      </x:c>
    </x:row>
    <x:row r="2">
      <x:c r="A2" s="8" t="str">
        <x:v>arterial_map</x:v>
      </x:c>
      <x:c r="B2" s="16" t="n">
        <x:v>1</x:v>
      </x:c>
      <x:c r="C2" s="8" t="str">
        <x:v>Solar8000/ART_MBP</x:v>
      </x:c>
      <x:c r="D2" s="16" t="n">
        <x:v>3724</x:v>
      </x:c>
      <x:c r="E2" s="16" t="n">
        <x:v>3724</x:v>
      </x:c>
      <x:c r="F2" s="16" t="n">
        <x:v>3724</x:v>
      </x:c>
      <x:c r="G2" s="8" t="str">
        <x:v>lowest configured priority per case; one track retained</x:v>
      </x:c>
    </x:row>
    <x:row r="3">
      <x:c r="A3" s="8" t="str">
        <x:v>arterial_map</x:v>
      </x:c>
      <x:c r="B3" s="16" t="n">
        <x:v>2</x:v>
      </x:c>
      <x:c r="C3" s="8" t="str">
        <x:v>EV1000/ART_MBP</x:v>
      </x:c>
      <x:c r="D3" s="16" t="n">
        <x:v>592</x:v>
      </x:c>
      <x:c r="E3" s="16" t="n">
        <x:v>592</x:v>
      </x:c>
      <x:c r="F3" s="16" t="n">
        <x:v>11</x:v>
      </x:c>
      <x:c r="G3" s="8" t="str">
        <x:v>lowest configured priority per case; one track retained</x:v>
      </x:c>
    </x:row>
    <x:row r="4">
      <x:c r="A4" s="8" t="str">
        <x:v>arterial_map</x:v>
      </x:c>
      <x:c r="B4" s="16" t="n">
        <x:v>3</x:v>
      </x:c>
      <x:c r="C4" s="8" t="str">
        <x:v>ART_MBP</x:v>
      </x:c>
      <x:c r="D4" s="16" t="n">
        <x:v>0</x:v>
      </x:c>
      <x:c r="E4" s="16" t="n">
        <x:v>0</x:v>
      </x:c>
      <x:c r="F4" s="16" t="n">
        <x:v>0</x:v>
      </x:c>
      <x:c r="G4" s="8" t="str">
        <x:v>lowest configured priority per case; one track retained</x:v>
      </x:c>
    </x:row>
    <x:row r="5">
      <x:c r="A5" s="8" t="str">
        <x:v>nibp_map</x:v>
      </x:c>
      <x:c r="B5" s="16" t="n">
        <x:v>1</x:v>
      </x:c>
      <x:c r="C5" s="8" t="str">
        <x:v>Solar8000/NIBP_MBP</x:v>
      </x:c>
      <x:c r="D5" s="16" t="n">
        <x:v>5763</x:v>
      </x:c>
      <x:c r="E5" s="16" t="n">
        <x:v>5763</x:v>
      </x:c>
      <x:c r="F5" s="16" t="n">
        <x:v>5763</x:v>
      </x:c>
      <x:c r="G5" s="8" t="str">
        <x:v>lowest configured priority per case; one track retained</x:v>
      </x:c>
    </x:row>
    <x:row r="6">
      <x:c r="A6" s="8" t="str">
        <x:v>nibp_map</x:v>
      </x:c>
      <x:c r="B6" s="16" t="n">
        <x:v>2</x:v>
      </x:c>
      <x:c r="C6" s="8" t="str">
        <x:v>NIBP_MBP</x:v>
      </x:c>
      <x:c r="D6" s="16" t="n">
        <x:v>0</x:v>
      </x:c>
      <x:c r="E6" s="16" t="n">
        <x:v>0</x:v>
      </x:c>
      <x:c r="F6" s="16" t="n">
        <x:v>0</x:v>
      </x:c>
      <x:c r="G6" s="8" t="str">
        <x:v>lowest configured priority per case; one track retained</x:v>
      </x:c>
    </x:row>
    <x:row r="7">
      <x:c r="A7" s="8" t="str">
        <x:v>nibp_map</x:v>
      </x:c>
      <x:c r="B7" s="16" t="n">
        <x:v>3</x:v>
      </x:c>
      <x:c r="C7" s="8" t="str">
        <x:v>NIBP_MEAN</x:v>
      </x:c>
      <x:c r="D7" s="16" t="n">
        <x:v>0</x:v>
      </x:c>
      <x:c r="E7" s="16" t="n">
        <x:v>0</x:v>
      </x:c>
      <x:c r="F7" s="16" t="n">
        <x:v>0</x:v>
      </x:c>
      <x:c r="G7" s="8" t="str">
        <x:v>lowest configured priority per case; one track retained</x:v>
      </x:c>
    </x:row>
  </x:sheetData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5" hidden="0" customWidth="1"/>
    <x:col min="3" max="3" width="23" hidden="0" customWidth="1"/>
    <x:col min="4" max="4" width="21" hidden="0" customWidth="1"/>
    <x:col min="5" max="5" width="22" hidden="0" customWidth="1"/>
    <x:col min="6" max="6" width="23" hidden="0" customWidth="1"/>
  </x:cols>
  <x:sheetData>
    <x:row r="1" ht="32" customHeight="1">
      <x:c r="A1" s="14" t="str">
        <x:v>variable</x:v>
      </x:c>
      <x:c r="B1" s="14" t="str">
        <x:v>vitaldb_mean_unweighted</x:v>
      </x:c>
      <x:c r="C1" s="14" t="str">
        <x:v>vitaldb_mean_weighted</x:v>
      </x:c>
      <x:c r="D1" s="14" t="str">
        <x:v>inspire_mean</x:v>
      </x:c>
      <x:c r="E1" s="14" t="str">
        <x:v>smd_before_weighting</x:v>
      </x:c>
      <x:c r="F1" s="14" t="str">
        <x:v>smd_after_weighting</x:v>
      </x:c>
    </x:row>
    <x:row r="2">
      <x:c r="A2" s="8" t="str">
        <x:v>age</x:v>
      </x:c>
      <x:c r="B2" s="18" t="n">
        <x:v>59.656711915535446</x:v>
      </x:c>
      <x:c r="C2" s="18" t="n">
        <x:v>54.3458677912342</x:v>
      </x:c>
      <x:c r="D2" s="18" t="n">
        <x:v>54.43338617486827</x:v>
      </x:c>
      <x:c r="E2" s="18" t="n">
        <x:v>0.3514451680619944</x:v>
      </x:c>
      <x:c r="F2" s="18" t="n">
        <x:v>-0.005888568810732636</x:v>
      </x:c>
    </x:row>
    <x:row r="3">
      <x:c r="A3" s="8" t="str">
        <x:v>sex_male</x:v>
      </x:c>
      <x:c r="B3" s="18" t="n">
        <x:v>0.5517345399698341</x:v>
      </x:c>
      <x:c r="C3" s="18" t="n">
        <x:v>0.44210998092114223</x:v>
      </x:c>
      <x:c r="D3" s="18" t="n">
        <x:v>0.44447173350004465</x:v>
      </x:c>
      <x:c r="E3" s="18" t="n">
        <x:v>0.2157551372059928</x:v>
      </x:c>
      <x:c r="F3" s="18" t="n">
        <x:v>-0.00475057728282745</x:v>
      </x:c>
    </x:row>
    <x:row r="4">
      <x:c r="A4" s="8" t="str">
        <x:v>asa_num</x:v>
      </x:c>
      <x:c r="B4" s="18" t="n">
        <x:v>1.9264162561576355</x:v>
      </x:c>
      <x:c r="C4" s="18" t="n">
        <x:v>1.7777326637290831</x:v>
      </x:c>
      <x:c r="D4" s="18" t="n">
        <x:v>1.7401601948999643</x:v>
      </x:c>
      <x:c r="E4" s="18" t="n">
        <x:v>0.29035495829806746</x:v>
      </x:c>
      <x:c r="F4" s="18" t="n">
        <x:v>0.05857179920143359</x:v>
      </x:c>
    </x:row>
    <x:row r="5">
      <x:c r="A5" s="8" t="str">
        <x:v>duration_min</x:v>
      </x:c>
      <x:c r="B5" s="18" t="n">
        <x:v>228.77677224740572</x:v>
      </x:c>
      <x:c r="C5" s="18" t="n">
        <x:v>197.1693422298811</x:v>
      </x:c>
      <x:c r="D5" s="18" t="n">
        <x:v>177.39673573278557</x:v>
      </x:c>
      <x:c r="E5" s="18" t="n">
        <x:v>0.46988074101240523</x:v>
      </x:c>
      <x:c r="F5" s="18" t="n">
        <x:v>0.18082445289734786</x:v>
      </x:c>
    </x:row>
  </x:sheetData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34" hidden="0" customWidth="1"/>
    <x:col min="4" max="4" width="17" hidden="0" customWidth="1"/>
    <x:col min="5" max="5" width="19" hidden="0" customWidth="1"/>
    <x:col min="6" max="6" width="21" hidden="0" customWidth="1"/>
    <x:col min="7" max="7" width="26" hidden="0" customWidth="1"/>
    <x:col min="8" max="8" width="20" hidden="0" customWidth="1"/>
    <x:col min="9" max="9" width="20" hidden="0" customWidth="1"/>
    <x:col min="10" max="10" width="23" hidden="0" customWidth="1"/>
    <x:col min="11" max="11" width="20" hidden="0" customWidth="1"/>
    <x:col min="12" max="12" width="20" hidden="0" customWidth="1"/>
  </x:cols>
  <x:sheetData>
    <x:row r="1" ht="32" customHeight="1">
      <x:c r="A1" s="14" t="str">
        <x:v>threshold</x:v>
      </x:c>
      <x:c r="B1" s="14" t="str">
        <x:v>interval_min</x:v>
      </x:c>
      <x:c r="C1" s="14" t="str">
        <x:v>role</x:v>
      </x:c>
      <x:c r="D1" s="14" t="str">
        <x:v>n_vitaldb_cases</x:v>
      </x:c>
      <x:c r="E1" s="14" t="str">
        <x:v>weighted_true_auc</x:v>
      </x:c>
      <x:c r="F1" s="14" t="str">
        <x:v>weighted_hidden_auc</x:v>
      </x:c>
      <x:c r="G1" s="14" t="str">
        <x:v>weighted_overdisplay_auc</x:v>
      </x:c>
      <x:c r="H1" s="14" t="str">
        <x:v>weighted_HDR</x:v>
      </x:c>
      <x:c r="I1" s="14" t="str">
        <x:v>weighted_ODR</x:v>
      </x:c>
      <x:c r="J1" s="14" t="str">
        <x:v>weighted_NetBias</x:v>
      </x:c>
      <x:c r="K1" s="14" t="str">
        <x:v>median_weight</x:v>
      </x:c>
      <x:c r="L1" s="14" t="str">
        <x:v>max_weight</x:v>
      </x:c>
    </x:row>
    <x:row r="2">
      <x:c r="A2" s="16" t="n">
        <x:v>65</x:v>
      </x:c>
      <x:c r="B2" s="16" t="n">
        <x:v>5</x:v>
      </x:c>
      <x:c r="C2" s="8" t="str">
        <x:v>VitalDB-to-target-population transportability sensitivity; not a validation claim</x:v>
      </x:c>
      <x:c r="D2" s="16" t="n">
        <x:v>2435</x:v>
      </x:c>
      <x:c r="E2" s="18" t="n">
        <x:v>221433.7486181754</x:v>
      </x:c>
      <x:c r="F2" s="18" t="n">
        <x:v>136263.7587677529</x:v>
      </x:c>
      <x:c r="G2" s="18" t="n">
        <x:v>130052.03642464391</x:v>
      </x:c>
      <x:c r="H2" s="18" t="n">
        <x:v>0.6153703291304364</x:v>
      </x:c>
      <x:c r="I2" s="18" t="n">
        <x:v>0.5873180454028099</x:v>
      </x:c>
      <x:c r="J2" s="18" t="n">
        <x:v>-0.028052283727626574</x:v>
      </x:c>
      <x:c r="K2" s="18" t="n">
        <x:v>0.8986300336480009</x:v>
      </x:c>
      <x:c r="L2" s="18" t="n">
        <x:v>3.5757172002693443</x:v>
      </x:c>
    </x:row>
  </x:sheetData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6" hidden="0" customWidth="1"/>
    <x:col min="4" max="4" width="20" hidden="0" customWidth="1"/>
    <x:col min="5" max="5" width="20" hidden="0" customWidth="1"/>
    <x:col min="6" max="6" width="20" hidden="0" customWidth="1"/>
    <x:col min="7" max="7" width="23" hidden="0" customWidth="1"/>
  </x:cols>
  <x:sheetData>
    <x:row r="1" ht="32" customHeight="1">
      <x:c r="A1" s="14" t="str">
        <x:v>sensitivity</x:v>
      </x:c>
      <x:c r="B1" s="14" t="str">
        <x:v>n_cases</x:v>
      </x:c>
      <x:c r="C1" s="14" t="str">
        <x:v>excluded_cases</x:v>
      </x:c>
      <x:c r="D1" s="14" t="str">
        <x:v>TrueAUC65</x:v>
      </x:c>
      <x:c r="E1" s="14" t="str">
        <x:v>HDR65</x:v>
      </x:c>
      <x:c r="F1" s="14" t="str">
        <x:v>ODR65</x:v>
      </x:c>
      <x:c r="G1" s="14" t="str">
        <x:v>NetBias</x:v>
      </x:c>
    </x:row>
    <x:row r="2">
      <x:c r="A2" s="8" t="str">
        <x:v>coverage_ge_80pct</x:v>
      </x:c>
      <x:c r="B2" s="16" t="n">
        <x:v>2435</x:v>
      </x:c>
      <x:c r="C2" s="16" t="n">
        <x:v>0</x:v>
      </x:c>
      <x:c r="D2" s="18" t="n">
        <x:v>262221.8333333333</x:v>
      </x:c>
      <x:c r="E2" s="18" t="n">
        <x:v>0.5974247419434733</x:v>
      </x:c>
      <x:c r="F2" s="18" t="n">
        <x:v>0.5729922163020157</x:v>
      </x:c>
      <x:c r="G2" s="18" t="n">
        <x:v>-0.02443252564145742</x:v>
      </x:c>
    </x:row>
    <x:row r="3">
      <x:c r="A3" s="8" t="str">
        <x:v>coverage_ge_90pct</x:v>
      </x:c>
      <x:c r="B3" s="16" t="n">
        <x:v>1523</x:v>
      </x:c>
      <x:c r="C3" s="16" t="n">
        <x:v>912</x:v>
      </x:c>
      <x:c r="D3" s="18" t="n">
        <x:v>184530.41666666666</x:v>
      </x:c>
      <x:c r="E3" s="18" t="n">
        <x:v>0.5875486952994049</x:v>
      </x:c>
      <x:c r="F3" s="18" t="n">
        <x:v>0.5678315303333763</x:v>
      </x:c>
      <x:c r="G3" s="18" t="n">
        <x:v>-0.019717164966028586</x:v>
      </x:c>
    </x:row>
    <x:row r="4">
      <x:c r="A4" s="8" t="str">
        <x:v>coverage_ge_95pct</x:v>
      </x:c>
      <x:c r="B4" s="16" t="n">
        <x:v>504</x:v>
      </x:c>
      <x:c r="C4" s="16" t="n">
        <x:v>1931</x:v>
      </x:c>
      <x:c r="D4" s="18" t="n">
        <x:v>66846.41666666666</x:v>
      </x:c>
      <x:c r="E4" s="18" t="n">
        <x:v>0.5875734218280628</x:v>
      </x:c>
      <x:c r="F4" s="18" t="n">
        <x:v>0.5735937811010395</x:v>
      </x:c>
      <x:c r="G4" s="18" t="n">
        <x:v>-0.013979640727022994</x:v>
      </x:c>
    </x:row>
    <x:row r="5">
      <x:c r="A5" s="8" t="str">
        <x:v>time_window_anaesthetic_interval</x:v>
      </x:c>
      <x:c r="B5" s="16" t="n">
        <x:v>2435</x:v>
      </x:c>
      <x:c r="C5" s="16" t="n">
        <x:v>0</x:v>
      </x:c>
      <x:c r="D5" s="18" t="n">
        <x:v>262221.8333333333</x:v>
      </x:c>
      <x:c r="E5" s="18" t="n">
        <x:v>0.5974247419434733</x:v>
      </x:c>
      <x:c r="F5" s="18" t="n">
        <x:v>0.5729922163020157</x:v>
      </x:c>
      <x:c r="G5" s="18" t="n">
        <x:v>-0.02443252564145742</x:v>
      </x:c>
    </x:row>
    <x:row r="6">
      <x:c r="A6" s="8" t="str">
        <x:v>time_window_surgery_interval_coverage_matched</x:v>
      </x:c>
      <x:c r="B6" s="16" t="n">
        <x:v>2425</x:v>
      </x:c>
      <x:c r="C6" s="16" t="n">
        <x:v>10</x:v>
      </x:c>
      <x:c r="D6" s="18" t="n">
        <x:v>261236.75</x:v>
      </x:c>
      <x:c r="E6" s="18" t="n">
        <x:v>0.5974361591757498</x:v>
      </x:c>
      <x:c r="F6" s="18" t="n">
        <x:v>0.5729504409739866</x:v>
      </x:c>
      <x:c r="G6" s="18" t="n">
        <x:v>-0.024485718201763106</x:v>
      </x:c>
    </x:row>
    <x:row r="7">
      <x:c r="A7" s="8" t="str">
        <x:v>map_range_20_180_primary</x:v>
      </x:c>
      <x:c r="B7" s="16" t="n">
        <x:v>2435</x:v>
      </x:c>
      <x:c r="C7" s="16" t="n">
        <x:v>0</x:v>
      </x:c>
      <x:c r="D7" s="18" t="n">
        <x:v>262221.8333333333</x:v>
      </x:c>
      <x:c r="E7" s="18" t="n">
        <x:v>0.5974247419434733</x:v>
      </x:c>
      <x:c r="F7" s="18" t="n">
        <x:v>0.5729922163020157</x:v>
      </x:c>
      <x:c r="G7" s="18" t="n">
        <x:v>-0.02443252564145742</x:v>
      </x:c>
    </x:row>
    <x:row r="8">
      <x:c r="A8" s="8" t="str">
        <x:v>map_range_30_150_artifact_subset</x:v>
      </x:c>
      <x:c r="B8" s="16" t="n">
        <x:v>2272</x:v>
      </x:c>
      <x:c r="C8" s="16" t="n">
        <x:v>163</x:v>
      </x:c>
      <x:c r="D8" s="18" t="n">
        <x:v>222723.3333333333</x:v>
      </x:c>
      <x:c r="E8" s="18" t="n">
        <x:v>0.6127396969833027</x:v>
      </x:c>
      <x:c r="F8" s="18" t="n">
        <x:v>0.5868486936957162</x:v>
      </x:c>
      <x:c r="G8" s="18" t="n">
        <x:v>-0.02589100328758642</x:v>
      </x:c>
    </x:row>
    <x:row r="9">
      <x:c r="A9" s="8" t="str">
        <x:v>aggregation_10s_median_primary</x:v>
      </x:c>
      <x:c r="B9" s="16" t="n">
        <x:v>2435</x:v>
      </x:c>
      <x:c r="C9" s="16" t="n">
        <x:v>0</x:v>
      </x:c>
      <x:c r="D9" s="18" t="n">
        <x:v>262221.8333333333</x:v>
      </x:c>
      <x:c r="E9" s="18" t="n">
        <x:v>0.5974247419434733</x:v>
      </x:c>
      <x:c r="F9" s="18" t="n">
        <x:v>0.5729922163020157</x:v>
      </x:c>
      <x:c r="G9" s="18" t="n">
        <x:v>-0.02443252564145742</x:v>
      </x:c>
    </x:row>
    <x:row r="10">
      <x:c r="A10" s="8" t="str">
        <x:v>aggregation_10s_mean_matched_primary_grid</x:v>
      </x:c>
      <x:c r="B10" s="16" t="n">
        <x:v>2435</x:v>
      </x:c>
      <x:c r="C10" s="16" t="n">
        <x:v>0</x:v>
      </x:c>
      <x:c r="D10" s="18" t="n">
        <x:v>262221.8333333333</x:v>
      </x:c>
      <x:c r="E10" s="18" t="n">
        <x:v>0.5974247419434733</x:v>
      </x:c>
      <x:c r="F10" s="18" t="n">
        <x:v>0.5729922163020157</x:v>
      </x:c>
      <x:c r="G10" s="18" t="n">
        <x:v>-0.02443252564145742</x:v>
      </x:c>
    </x:row>
    <x:row r="11">
      <x:c r="A11" s="8" t="str">
        <x:v>artifact_exclusion_flatline_top5pct_removed</x:v>
      </x:c>
      <x:c r="B11" s="16" t="n">
        <x:v>2272</x:v>
      </x:c>
      <x:c r="C11" s="16" t="n">
        <x:v>163</x:v>
      </x:c>
      <x:c r="D11" s="18" t="n">
        <x:v>222723.3333333333</x:v>
      </x:c>
      <x:c r="E11" s="18" t="n">
        <x:v>0.6127396969833027</x:v>
      </x:c>
      <x:c r="F11" s="18" t="n">
        <x:v>0.5868486936957162</x:v>
      </x:c>
      <x:c r="G11" s="18" t="n">
        <x:v>-0.02589100328758642</x:v>
      </x:c>
    </x:row>
  </x:sheetData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6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3" hidden="0" customWidth="1"/>
    <x:col min="11" max="11" width="34" hidden="0" customWidth="1"/>
    <x:col min="12" max="12" width="34" hidden="0" customWidth="1"/>
    <x:col min="13" max="13" width="10" hidden="0" customWidth="1"/>
  </x:cols>
  <x:sheetData>
    <x:row r="1" ht="32" customHeight="1">
      <x:c r="A1" s="14" t="str">
        <x:v>sensitivity</x:v>
      </x:c>
      <x:c r="B1" s="14" t="str">
        <x:v>n_cases</x:v>
      </x:c>
      <x:c r="C1" s="14" t="str">
        <x:v>excluded_cases</x:v>
      </x:c>
      <x:c r="D1" s="14" t="str">
        <x:v>TrueAUC65</x:v>
      </x:c>
      <x:c r="E1" s="14" t="str">
        <x:v>HiddenAUC65</x:v>
      </x:c>
      <x:c r="F1" s="14" t="str">
        <x:v>OverAUC65</x:v>
      </x:c>
      <x:c r="G1" s="14" t="str">
        <x:v>DisplayAUC65</x:v>
      </x:c>
      <x:c r="H1" s="14" t="str">
        <x:v>HDR65</x:v>
      </x:c>
      <x:c r="I1" s="14" t="str">
        <x:v>ODR65</x:v>
      </x:c>
      <x:c r="J1" s="14" t="str">
        <x:v>NetBias</x:v>
      </x:c>
      <x:c r="K1" s="14" t="str">
        <x:v>normotensive_display_discordance_min</x:v>
      </x:c>
      <x:c r="L1" s="14" t="str">
        <x:v>hypotensive_display_discordance_min</x:v>
      </x:c>
      <x:c r="M1" s="14" t="str">
        <x:v>status</x:v>
      </x:c>
    </x:row>
    <x:row r="2">
      <x:c r="A2" s="8" t="str">
        <x:v>coverage_ge_80pct</x:v>
      </x:c>
      <x:c r="B2" s="16" t="n">
        <x:v>2435</x:v>
      </x:c>
      <x:c r="C2" s="16" t="n">
        <x:v>0</x:v>
      </x:c>
      <x:c r="D2" s="18" t="n">
        <x:v>262221.8333333333</x:v>
      </x:c>
      <x:c r="E2" s="18" t="n">
        <x:v>156657.8111111111</x:v>
      </x:c>
      <x:c r="F2" s="18" t="n">
        <x:v>150251.06944444444</x:v>
      </x:c>
      <x:c r="G2" s="18" t="n">
        <x:v>255815.09166666667</x:v>
      </x:c>
      <x:c r="H2" s="18" t="n">
        <x:v>0.5974247419434733</x:v>
      </x:c>
      <x:c r="I2" s="18" t="n">
        <x:v>0.5729922163020157</x:v>
      </x:c>
      <x:c r="J2" s="18" t="n">
        <x:v>-0.02443252564145742</x:v>
      </x:c>
      <x:c r="K2" s="18" t="n">
        <x:v>16337.566666666666</x:v>
      </x:c>
      <x:c r="L2" s="18" t="n">
        <x:v>17769.627777777776</x:v>
      </x:c>
      <x:c r="M2" s="8" t="str">
        <x:v>computed</x:v>
      </x:c>
    </x:row>
    <x:row r="3">
      <x:c r="A3" s="8" t="str">
        <x:v>coverage_ge_90pct</x:v>
      </x:c>
      <x:c r="B3" s="16" t="n">
        <x:v>1523</x:v>
      </x:c>
      <x:c r="C3" s="16" t="n">
        <x:v>912</x:v>
      </x:c>
      <x:c r="D3" s="18" t="n">
        <x:v>184530.41666666666</x:v>
      </x:c>
      <x:c r="E3" s="18" t="n">
        <x:v>108420.60555555555</x:v>
      </x:c>
      <x:c r="F3" s="18" t="n">
        <x:v>104782.1888888889</x:v>
      </x:c>
      <x:c r="G3" s="18" t="n">
        <x:v>180892</x:v>
      </x:c>
      <x:c r="H3" s="18" t="n">
        <x:v>0.5875486952994049</x:v>
      </x:c>
      <x:c r="I3" s="18" t="n">
        <x:v>0.5678315303333763</x:v>
      </x:c>
      <x:c r="J3" s="18" t="n">
        <x:v>-0.019717164966028586</x:v>
      </x:c>
      <x:c r="K3" s="18" t="n">
        <x:v>11853.105555555556</x:v>
      </x:c>
      <x:c r="L3" s="18" t="n">
        <x:v>12752.05</x:v>
      </x:c>
      <x:c r="M3" s="8" t="str">
        <x:v>computed</x:v>
      </x:c>
    </x:row>
    <x:row r="4">
      <x:c r="A4" s="8" t="str">
        <x:v>coverage_ge_95pct</x:v>
      </x:c>
      <x:c r="B4" s="16" t="n">
        <x:v>504</x:v>
      </x:c>
      <x:c r="C4" s="16" t="n">
        <x:v>1931</x:v>
      </x:c>
      <x:c r="D4" s="18" t="n">
        <x:v>66846.41666666666</x:v>
      </x:c>
      <x:c r="E4" s="18" t="n">
        <x:v>39277.177777777775</x:v>
      </x:c>
      <x:c r="F4" s="18" t="n">
        <x:v>38342.68888888888</x:v>
      </x:c>
      <x:c r="G4" s="18" t="n">
        <x:v>65911.92777777778</x:v>
      </x:c>
      <x:c r="H4" s="18" t="n">
        <x:v>0.5875734218280628</x:v>
      </x:c>
      <x:c r="I4" s="18" t="n">
        <x:v>0.5735937811010395</x:v>
      </x:c>
      <x:c r="J4" s="18" t="n">
        <x:v>-0.013979640727022994</x:v>
      </x:c>
      <x:c r="K4" s="18" t="n">
        <x:v>4632.094444444445</x:v>
      </x:c>
      <x:c r="L4" s="18" t="n">
        <x:v>4918.138888888889</x:v>
      </x:c>
      <x:c r="M4" s="8" t="str">
        <x:v>computed</x:v>
      </x:c>
    </x:row>
    <x:row r="5">
      <x:c r="A5" s="8" t="str">
        <x:v>time_window_anaesthetic_interval</x:v>
      </x:c>
      <x:c r="B5" s="16" t="n">
        <x:v>2435</x:v>
      </x:c>
      <x:c r="C5" s="16" t="n">
        <x:v>0</x:v>
      </x:c>
      <x:c r="D5" s="18" t="n">
        <x:v>262221.8333333333</x:v>
      </x:c>
      <x:c r="E5" s="18" t="n">
        <x:v>156657.8111111111</x:v>
      </x:c>
      <x:c r="F5" s="18" t="n">
        <x:v>150251.06944444444</x:v>
      </x:c>
      <x:c r="G5" s="18" t="n">
        <x:v>255815.09166666667</x:v>
      </x:c>
      <x:c r="H5" s="18" t="n">
        <x:v>0.5974247419434733</x:v>
      </x:c>
      <x:c r="I5" s="18" t="n">
        <x:v>0.5729922163020157</x:v>
      </x:c>
      <x:c r="J5" s="18" t="n">
        <x:v>-0.02443252564145742</x:v>
      </x:c>
      <x:c r="K5" s="18" t="n">
        <x:v>16337.566666666666</x:v>
      </x:c>
      <x:c r="L5" s="18" t="n">
        <x:v>17769.627777777776</x:v>
      </x:c>
      <x:c r="M5" s="8" t="str">
        <x:v>computed</x:v>
      </x:c>
    </x:row>
    <x:row r="6">
      <x:c r="A6" s="8" t="str">
        <x:v>time_window_surgery_interval_coverage_matched</x:v>
      </x:c>
      <x:c r="B6" s="16" t="n">
        <x:v>2425</x:v>
      </x:c>
      <x:c r="C6" s="16" t="n">
        <x:v>10</x:v>
      </x:c>
      <x:c r="D6" s="18" t="n">
        <x:v>261236.75</x:v>
      </x:c>
      <x:c r="E6" s="18" t="n">
        <x:v>156072.28055555554</x:v>
      </x:c>
      <x:c r="F6" s="18" t="n">
        <x:v>149675.7111111111</x:v>
      </x:c>
      <x:c r="G6" s="18" t="n">
        <x:v>254840.18055555556</x:v>
      </x:c>
      <x:c r="H6" s="18" t="n">
        <x:v>0.5974361591757498</x:v>
      </x:c>
      <x:c r="I6" s="18" t="n">
        <x:v>0.5729504409739866</x:v>
      </x:c>
      <x:c r="J6" s="18" t="n">
        <x:v>-0.024485718201763106</x:v>
      </x:c>
      <x:c r="K6" s="18" t="n">
        <x:v>16257.638888888887</x:v>
      </x:c>
      <x:c r="L6" s="18" t="n">
        <x:v>17683.455555555556</x:v>
      </x:c>
      <x:c r="M6" s="8" t="str">
        <x:v>computed</x:v>
      </x:c>
    </x:row>
    <x:row r="7">
      <x:c r="A7" s="8" t="str">
        <x:v>map_range_20_180_primary</x:v>
      </x:c>
      <x:c r="B7" s="16" t="n">
        <x:v>2435</x:v>
      </x:c>
      <x:c r="C7" s="16" t="n">
        <x:v>0</x:v>
      </x:c>
      <x:c r="D7" s="18" t="n">
        <x:v>262221.8333333333</x:v>
      </x:c>
      <x:c r="E7" s="18" t="n">
        <x:v>156657.8111111111</x:v>
      </x:c>
      <x:c r="F7" s="18" t="n">
        <x:v>150251.06944444444</x:v>
      </x:c>
      <x:c r="G7" s="18" t="n">
        <x:v>255815.09166666667</x:v>
      </x:c>
      <x:c r="H7" s="18" t="n">
        <x:v>0.5974247419434733</x:v>
      </x:c>
      <x:c r="I7" s="18" t="n">
        <x:v>0.5729922163020157</x:v>
      </x:c>
      <x:c r="J7" s="18" t="n">
        <x:v>-0.02443252564145742</x:v>
      </x:c>
      <x:c r="K7" s="18" t="n">
        <x:v>16337.566666666666</x:v>
      </x:c>
      <x:c r="L7" s="18" t="n">
        <x:v>17769.627777777776</x:v>
      </x:c>
      <x:c r="M7" s="8" t="str">
        <x:v>computed</x:v>
      </x:c>
    </x:row>
    <x:row r="8">
      <x:c r="A8" s="8" t="str">
        <x:v>map_range_30_150_artifact_subset</x:v>
      </x:c>
      <x:c r="B8" s="16" t="n">
        <x:v>2272</x:v>
      </x:c>
      <x:c r="C8" s="16" t="n">
        <x:v>163</x:v>
      </x:c>
      <x:c r="D8" s="18" t="n">
        <x:v>222723.3333333333</x:v>
      </x:c>
      <x:c r="E8" s="18" t="n">
        <x:v>136471.42777777778</x:v>
      </x:c>
      <x:c r="F8" s="18" t="n">
        <x:v>130704.89722222222</x:v>
      </x:c>
      <x:c r="G8" s="18" t="n">
        <x:v>216956.80277777778</x:v>
      </x:c>
      <x:c r="H8" s="18" t="n">
        <x:v>0.6127396969833027</x:v>
      </x:c>
      <x:c r="I8" s="18" t="n">
        <x:v>0.5868486936957162</x:v>
      </x:c>
      <x:c r="J8" s="18" t="n">
        <x:v>-0.02589100328758642</x:v>
      </x:c>
      <x:c r="K8" s="18" t="n">
        <x:v>13842.633333333331</x:v>
      </x:c>
      <x:c r="L8" s="18" t="n">
        <x:v>15167.005555555554</x:v>
      </x:c>
      <x:c r="M8" s="8" t="str">
        <x:v>computed</x:v>
      </x:c>
    </x:row>
    <x:row r="9">
      <x:c r="A9" s="8" t="str">
        <x:v>aggregation_10s_median_primary</x:v>
      </x:c>
      <x:c r="B9" s="16" t="n">
        <x:v>2435</x:v>
      </x:c>
      <x:c r="C9" s="16" t="n">
        <x:v>0</x:v>
      </x:c>
      <x:c r="D9" s="18" t="n">
        <x:v>262221.8333333333</x:v>
      </x:c>
      <x:c r="E9" s="18" t="n">
        <x:v>156657.8111111111</x:v>
      </x:c>
      <x:c r="F9" s="18" t="n">
        <x:v>150251.06944444444</x:v>
      </x:c>
      <x:c r="G9" s="18" t="n">
        <x:v>255815.09166666667</x:v>
      </x:c>
      <x:c r="H9" s="18" t="n">
        <x:v>0.5974247419434733</x:v>
      </x:c>
      <x:c r="I9" s="18" t="n">
        <x:v>0.5729922163020157</x:v>
      </x:c>
      <x:c r="J9" s="18" t="n">
        <x:v>-0.02443252564145742</x:v>
      </x:c>
      <x:c r="K9" s="18" t="n">
        <x:v>16337.566666666666</x:v>
      </x:c>
      <x:c r="L9" s="18" t="n">
        <x:v>17769.627777777776</x:v>
      </x:c>
      <x:c r="M9" s="8" t="str">
        <x:v>computed</x:v>
      </x:c>
    </x:row>
    <x:row r="10">
      <x:c r="A10" s="8" t="str">
        <x:v>aggregation_10s_mean_matched_primary_grid</x:v>
      </x:c>
      <x:c r="B10" s="16" t="n">
        <x:v>2435</x:v>
      </x:c>
      <x:c r="C10" s="16" t="n">
        <x:v>0</x:v>
      </x:c>
      <x:c r="D10" s="18" t="n">
        <x:v>262221.8333333333</x:v>
      </x:c>
      <x:c r="E10" s="18" t="n">
        <x:v>156657.8111111111</x:v>
      </x:c>
      <x:c r="F10" s="18" t="n">
        <x:v>150251.06944444444</x:v>
      </x:c>
      <x:c r="G10" s="18" t="n">
        <x:v>255815.09166666667</x:v>
      </x:c>
      <x:c r="H10" s="18" t="n">
        <x:v>0.5974247419434733</x:v>
      </x:c>
      <x:c r="I10" s="18" t="n">
        <x:v>0.5729922163020157</x:v>
      </x:c>
      <x:c r="J10" s="18" t="n">
        <x:v>-0.02443252564145742</x:v>
      </x:c>
      <x:c r="K10" s="18" t="n">
        <x:v>16337.566666666666</x:v>
      </x:c>
      <x:c r="L10" s="18" t="n">
        <x:v>17769.627777777776</x:v>
      </x:c>
      <x:c r="M10" s="8" t="str">
        <x:v>computed</x:v>
      </x:c>
    </x:row>
    <x:row r="11">
      <x:c r="A11" s="8" t="str">
        <x:v>artifact_exclusion_flatline_top5pct_removed</x:v>
      </x:c>
      <x:c r="B11" s="16" t="n">
        <x:v>2272</x:v>
      </x:c>
      <x:c r="C11" s="16" t="n">
        <x:v>163</x:v>
      </x:c>
      <x:c r="D11" s="18" t="n">
        <x:v>222723.3333333333</x:v>
      </x:c>
      <x:c r="E11" s="18" t="n">
        <x:v>136471.42777777778</x:v>
      </x:c>
      <x:c r="F11" s="18" t="n">
        <x:v>130704.89722222222</x:v>
      </x:c>
      <x:c r="G11" s="18" t="n">
        <x:v>216956.80277777778</x:v>
      </x:c>
      <x:c r="H11" s="18" t="n">
        <x:v>0.6127396969833027</x:v>
      </x:c>
      <x:c r="I11" s="18" t="n">
        <x:v>0.5868486936957162</x:v>
      </x:c>
      <x:c r="J11" s="18" t="n">
        <x:v>-0.02589100328758642</x:v>
      </x:c>
      <x:c r="K11" s="18" t="n">
        <x:v>13842.633333333331</x:v>
      </x:c>
      <x:c r="L11" s="18" t="n">
        <x:v>15167.005555555554</x:v>
      </x:c>
      <x:c r="M11" s="8" t="str">
        <x:v>computed</x:v>
      </x:c>
    </x:row>
  </x:sheetData>
  <x:pageMargins left="0.7" right="0.7" top="0.75" bottom="0.75" header="0.3" footer="0.3"/>
</x:worksheet>
</file>